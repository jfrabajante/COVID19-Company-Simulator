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marrabajante/Desktop/Files for ZLift/"/>
    </mc:Choice>
  </mc:AlternateContent>
  <xr:revisionPtr revIDLastSave="0" documentId="13_ncr:1_{0013313E-79CF-E147-8C06-6181E90944BB}" xr6:coauthVersionLast="45" xr6:coauthVersionMax="45" xr10:uidLastSave="{00000000-0000-0000-0000-000000000000}"/>
  <bookViews>
    <workbookView xWindow="0" yWindow="460" windowWidth="27320" windowHeight="14900" activeTab="2" xr2:uid="{744F7E43-8264-4075-A58D-C11E27975CAE}"/>
  </bookViews>
  <sheets>
    <sheet name="Input" sheetId="3" r:id="rId1"/>
    <sheet name="Output" sheetId="1" r:id="rId2"/>
    <sheet name="Decision Guide" sheetId="5" r:id="rId3"/>
    <sheet name="Nature of Work" sheetId="2" r:id="rId4"/>
    <sheet name="Calculation" sheetId="4" state="hidden" r:id="rId5"/>
  </sheets>
  <definedNames>
    <definedName name="R_0">Calculation!$M$5</definedName>
    <definedName name="R_1">Calculation!$M$19</definedName>
    <definedName name="R_2">Calculation!$M$33</definedName>
    <definedName name="R_3">Calculation!$M$47</definedName>
    <definedName name="R_4">Calculation!$M$61</definedName>
    <definedName name="T_0">Calculation!$M$7</definedName>
    <definedName name="T_1">Calculation!$M$21</definedName>
    <definedName name="T_2">Calculation!$M$35</definedName>
    <definedName name="T_3">Calculation!$M$49</definedName>
    <definedName name="T_4">Calculation!$M$49</definedName>
    <definedName name="T_5">Calculation!$M$63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4" i="5" l="1"/>
  <c r="F24" i="5"/>
  <c r="E24" i="5"/>
  <c r="D24" i="5"/>
  <c r="C24" i="5"/>
  <c r="B24" i="5"/>
  <c r="D12" i="5"/>
  <c r="H13" i="5"/>
  <c r="G13" i="5"/>
  <c r="F13" i="5"/>
  <c r="E13" i="5"/>
  <c r="D13" i="5"/>
  <c r="H12" i="5"/>
  <c r="G12" i="5"/>
  <c r="F12" i="5"/>
  <c r="E12" i="5"/>
  <c r="I6" i="1"/>
  <c r="I5" i="1"/>
  <c r="I4" i="1"/>
  <c r="L4" i="1"/>
  <c r="J4" i="1"/>
  <c r="A20" i="3" l="1"/>
  <c r="K4" i="1" l="1"/>
  <c r="E16" i="3" l="1"/>
  <c r="A22" i="3" l="1"/>
  <c r="A23" i="3" l="1"/>
  <c r="B63" i="4" l="1"/>
  <c r="B49" i="4"/>
  <c r="B35" i="4"/>
  <c r="B7" i="4"/>
  <c r="B21" i="4"/>
  <c r="B24" i="1"/>
  <c r="B25" i="1" s="1"/>
  <c r="F4" i="1"/>
  <c r="E4" i="1"/>
  <c r="D4" i="1"/>
  <c r="A29" i="3"/>
  <c r="A28" i="3"/>
  <c r="A27" i="3"/>
  <c r="A26" i="3"/>
  <c r="A25" i="3"/>
  <c r="A24" i="3"/>
  <c r="A21" i="3"/>
  <c r="F18" i="3"/>
  <c r="B26" i="1" l="1"/>
  <c r="B27" i="1"/>
  <c r="C4" i="1"/>
  <c r="M18" i="4"/>
  <c r="M32" i="4"/>
  <c r="M4" i="4"/>
  <c r="M60" i="4"/>
  <c r="M46" i="4"/>
  <c r="B28" i="1"/>
  <c r="B46" i="4"/>
  <c r="B18" i="4"/>
  <c r="B4" i="4"/>
  <c r="B60" i="4"/>
  <c r="B32" i="4"/>
  <c r="B62" i="4"/>
  <c r="B34" i="4"/>
  <c r="B20" i="4"/>
  <c r="B6" i="4"/>
  <c r="B48" i="4"/>
  <c r="B65" i="4"/>
  <c r="B51" i="4"/>
  <c r="B37" i="4"/>
  <c r="B23" i="4"/>
  <c r="B9" i="4"/>
  <c r="B67" i="4"/>
  <c r="B53" i="4"/>
  <c r="B39" i="4"/>
  <c r="B25" i="4"/>
  <c r="B11" i="4"/>
  <c r="B69" i="4"/>
  <c r="B55" i="4"/>
  <c r="B41" i="4"/>
  <c r="B27" i="4"/>
  <c r="B13" i="4"/>
  <c r="D7" i="4"/>
  <c r="C7" i="4"/>
  <c r="C49" i="4"/>
  <c r="D49" i="4"/>
  <c r="B61" i="4"/>
  <c r="B47" i="4"/>
  <c r="B33" i="4"/>
  <c r="B19" i="4"/>
  <c r="B5" i="4"/>
  <c r="B50" i="4"/>
  <c r="B22" i="4"/>
  <c r="B8" i="4"/>
  <c r="B64" i="4"/>
  <c r="B36" i="4"/>
  <c r="B66" i="4"/>
  <c r="B38" i="4"/>
  <c r="B24" i="4"/>
  <c r="B10" i="4"/>
  <c r="B52" i="4"/>
  <c r="B54" i="4"/>
  <c r="B26" i="4"/>
  <c r="B12" i="4"/>
  <c r="B68" i="4"/>
  <c r="B40" i="4"/>
  <c r="D21" i="4"/>
  <c r="C21" i="4"/>
  <c r="C35" i="4"/>
  <c r="D35" i="4"/>
  <c r="C63" i="4"/>
  <c r="D63" i="4"/>
  <c r="F63" i="4" l="1"/>
  <c r="E63" i="4"/>
  <c r="F35" i="4"/>
  <c r="E35" i="4"/>
  <c r="C68" i="4"/>
  <c r="D68" i="4"/>
  <c r="D26" i="4"/>
  <c r="C26" i="4"/>
  <c r="C52" i="4"/>
  <c r="D52" i="4"/>
  <c r="D24" i="4"/>
  <c r="C24" i="4"/>
  <c r="C66" i="4"/>
  <c r="D66" i="4"/>
  <c r="C64" i="4"/>
  <c r="D64" i="4"/>
  <c r="D22" i="4"/>
  <c r="C22" i="4"/>
  <c r="D5" i="4"/>
  <c r="C5" i="4"/>
  <c r="C33" i="4"/>
  <c r="D33" i="4"/>
  <c r="C61" i="4"/>
  <c r="D61" i="4"/>
  <c r="E49" i="4"/>
  <c r="F49" i="4"/>
  <c r="C27" i="4"/>
  <c r="D27" i="4"/>
  <c r="C55" i="4"/>
  <c r="D55" i="4"/>
  <c r="D11" i="4"/>
  <c r="C11" i="4"/>
  <c r="C39" i="4"/>
  <c r="D39" i="4"/>
  <c r="C67" i="4"/>
  <c r="D67" i="4"/>
  <c r="C23" i="4"/>
  <c r="D23" i="4"/>
  <c r="C51" i="4"/>
  <c r="D51" i="4"/>
  <c r="C48" i="4"/>
  <c r="D48" i="4"/>
  <c r="D20" i="4"/>
  <c r="C20" i="4"/>
  <c r="C62" i="4"/>
  <c r="D62" i="4"/>
  <c r="C60" i="4"/>
  <c r="D60" i="4"/>
  <c r="D18" i="4"/>
  <c r="C18" i="4"/>
  <c r="E21" i="4"/>
  <c r="F21" i="4"/>
  <c r="C40" i="4"/>
  <c r="D40" i="4"/>
  <c r="D12" i="4"/>
  <c r="C12" i="4"/>
  <c r="G12" i="4" s="1"/>
  <c r="C54" i="4"/>
  <c r="D54" i="4"/>
  <c r="D10" i="4"/>
  <c r="C10" i="4"/>
  <c r="F10" i="4" s="1"/>
  <c r="C38" i="4"/>
  <c r="D38" i="4"/>
  <c r="C36" i="4"/>
  <c r="D36" i="4"/>
  <c r="D8" i="4"/>
  <c r="C8" i="4"/>
  <c r="F8" i="4" s="1"/>
  <c r="C50" i="4"/>
  <c r="D50" i="4"/>
  <c r="D19" i="4"/>
  <c r="C19" i="4"/>
  <c r="C47" i="4"/>
  <c r="D47" i="4"/>
  <c r="E7" i="4"/>
  <c r="F7" i="4"/>
  <c r="D13" i="4"/>
  <c r="C13" i="4"/>
  <c r="E13" i="4" s="1"/>
  <c r="C41" i="4"/>
  <c r="D41" i="4"/>
  <c r="C69" i="4"/>
  <c r="D69" i="4"/>
  <c r="C25" i="4"/>
  <c r="D25" i="4"/>
  <c r="C53" i="4"/>
  <c r="D53" i="4"/>
  <c r="D9" i="4"/>
  <c r="C9" i="4"/>
  <c r="F9" i="4" s="1"/>
  <c r="C37" i="4"/>
  <c r="D37" i="4"/>
  <c r="C65" i="4"/>
  <c r="D65" i="4"/>
  <c r="D6" i="4"/>
  <c r="C6" i="4"/>
  <c r="F6" i="4" s="1"/>
  <c r="C34" i="4"/>
  <c r="D34" i="4"/>
  <c r="C32" i="4"/>
  <c r="D32" i="4"/>
  <c r="D4" i="4"/>
  <c r="C4" i="4"/>
  <c r="C46" i="4"/>
  <c r="D46" i="4"/>
  <c r="G21" i="4" l="1"/>
  <c r="G7" i="4"/>
  <c r="F13" i="4"/>
  <c r="F12" i="4"/>
  <c r="G13" i="4"/>
  <c r="G49" i="4"/>
  <c r="E11" i="4"/>
  <c r="E5" i="4"/>
  <c r="F11" i="4"/>
  <c r="E9" i="4"/>
  <c r="G9" i="4" s="1"/>
  <c r="G35" i="4"/>
  <c r="E6" i="4"/>
  <c r="F5" i="4"/>
  <c r="G63" i="4"/>
  <c r="E10" i="4"/>
  <c r="G10" i="4" s="1"/>
  <c r="E8" i="4"/>
  <c r="G8" i="4" s="1"/>
  <c r="F46" i="4"/>
  <c r="E46" i="4"/>
  <c r="F32" i="4"/>
  <c r="E32" i="4"/>
  <c r="E34" i="4"/>
  <c r="F34" i="4"/>
  <c r="F65" i="4"/>
  <c r="E65" i="4"/>
  <c r="F37" i="4"/>
  <c r="E37" i="4"/>
  <c r="F53" i="4"/>
  <c r="G53" i="4" s="1"/>
  <c r="E53" i="4"/>
  <c r="F25" i="4"/>
  <c r="E25" i="4"/>
  <c r="E69" i="4"/>
  <c r="G69" i="4"/>
  <c r="F69" i="4"/>
  <c r="E41" i="4"/>
  <c r="F41" i="4"/>
  <c r="G41" i="4"/>
  <c r="E19" i="4"/>
  <c r="F19" i="4"/>
  <c r="F60" i="4"/>
  <c r="E60" i="4"/>
  <c r="E62" i="4"/>
  <c r="F62" i="4"/>
  <c r="F48" i="4"/>
  <c r="E48" i="4"/>
  <c r="E51" i="4"/>
  <c r="F51" i="4"/>
  <c r="E23" i="4"/>
  <c r="F23" i="4"/>
  <c r="E67" i="4"/>
  <c r="F67" i="4"/>
  <c r="G67" i="4" s="1"/>
  <c r="E39" i="4"/>
  <c r="F39" i="4"/>
  <c r="G55" i="4"/>
  <c r="F55" i="4"/>
  <c r="E55" i="4"/>
  <c r="F27" i="4"/>
  <c r="G27" i="4"/>
  <c r="E27" i="4"/>
  <c r="F22" i="4"/>
  <c r="E22" i="4"/>
  <c r="E24" i="4"/>
  <c r="F24" i="4"/>
  <c r="G26" i="4"/>
  <c r="E26" i="4"/>
  <c r="F26" i="4"/>
  <c r="E12" i="4"/>
  <c r="E4" i="4"/>
  <c r="F4" i="4"/>
  <c r="M5" i="4" s="1"/>
  <c r="I24" i="1" s="1"/>
  <c r="E47" i="4"/>
  <c r="F47" i="4"/>
  <c r="F50" i="4"/>
  <c r="E50" i="4"/>
  <c r="E36" i="4"/>
  <c r="F36" i="4"/>
  <c r="F38" i="4"/>
  <c r="G38" i="4" s="1"/>
  <c r="E38" i="4"/>
  <c r="E54" i="4"/>
  <c r="G54" i="4"/>
  <c r="F54" i="4"/>
  <c r="G40" i="4"/>
  <c r="F40" i="4"/>
  <c r="E40" i="4"/>
  <c r="F18" i="4"/>
  <c r="E18" i="4"/>
  <c r="F20" i="4"/>
  <c r="E20" i="4"/>
  <c r="F61" i="4"/>
  <c r="E61" i="4"/>
  <c r="F33" i="4"/>
  <c r="E33" i="4"/>
  <c r="E64" i="4"/>
  <c r="F64" i="4"/>
  <c r="F66" i="4"/>
  <c r="E66" i="4"/>
  <c r="G66" i="4" s="1"/>
  <c r="F52" i="4"/>
  <c r="E52" i="4"/>
  <c r="G68" i="4"/>
  <c r="F68" i="4"/>
  <c r="E68" i="4"/>
  <c r="G32" i="4"/>
  <c r="G6" i="4"/>
  <c r="G23" i="4" l="1"/>
  <c r="G64" i="4"/>
  <c r="G5" i="4"/>
  <c r="G36" i="4"/>
  <c r="G52" i="4"/>
  <c r="G25" i="4"/>
  <c r="G11" i="4"/>
  <c r="G37" i="4"/>
  <c r="G65" i="4"/>
  <c r="G22" i="4"/>
  <c r="G24" i="4"/>
  <c r="G50" i="4"/>
  <c r="G39" i="4"/>
  <c r="G51" i="4"/>
  <c r="G33" i="4"/>
  <c r="G48" i="4"/>
  <c r="G62" i="4"/>
  <c r="G34" i="4"/>
  <c r="G46" i="4"/>
  <c r="G61" i="4"/>
  <c r="G20" i="4"/>
  <c r="G47" i="4"/>
  <c r="G60" i="4"/>
  <c r="G19" i="4"/>
  <c r="M19" i="4"/>
  <c r="I25" i="1" s="1"/>
  <c r="G18" i="4"/>
  <c r="G4" i="4"/>
  <c r="M61" i="4"/>
  <c r="I28" i="1" s="1"/>
  <c r="M33" i="4"/>
  <c r="I26" i="1" s="1"/>
  <c r="M47" i="4"/>
  <c r="I27" i="1" s="1"/>
  <c r="J47" i="4" l="1"/>
  <c r="J32" i="4"/>
  <c r="J46" i="4"/>
  <c r="J60" i="4"/>
  <c r="J33" i="4"/>
  <c r="J61" i="4"/>
  <c r="J19" i="4"/>
  <c r="J18" i="4"/>
  <c r="J5" i="4"/>
  <c r="J4" i="4"/>
  <c r="M63" i="4"/>
  <c r="E28" i="1" s="1"/>
  <c r="J48" i="4" l="1"/>
  <c r="M48" i="4" s="1"/>
  <c r="J35" i="4"/>
  <c r="J63" i="4"/>
  <c r="J34" i="4"/>
  <c r="M34" i="4" s="1"/>
  <c r="J62" i="4"/>
  <c r="M62" i="4" s="1"/>
  <c r="J49" i="4"/>
  <c r="M49" i="4" s="1"/>
  <c r="E27" i="1" s="1"/>
  <c r="J6" i="4"/>
  <c r="M6" i="4" s="1"/>
  <c r="J20" i="4"/>
  <c r="M20" i="4" s="1"/>
  <c r="J7" i="4"/>
  <c r="J21" i="4"/>
  <c r="M35" i="4" l="1"/>
  <c r="E26" i="1" s="1"/>
  <c r="M7" i="4"/>
  <c r="E24" i="1" s="1"/>
  <c r="M21" i="4"/>
  <c r="E25" i="1" s="1"/>
</calcChain>
</file>

<file path=xl/sharedStrings.xml><?xml version="1.0" encoding="utf-8"?>
<sst xmlns="http://schemas.openxmlformats.org/spreadsheetml/2006/main" count="209" uniqueCount="145">
  <si>
    <t>Variables</t>
  </si>
  <si>
    <t>Total</t>
  </si>
  <si>
    <t>Regular Sanitizing</t>
  </si>
  <si>
    <t>Face Mask</t>
  </si>
  <si>
    <t>Avoiding Crowded Places</t>
  </si>
  <si>
    <t>Measure</t>
  </si>
  <si>
    <t>theta</t>
  </si>
  <si>
    <t>Probability*</t>
  </si>
  <si>
    <t>*probability of committing to the measure (may vary)</t>
  </si>
  <si>
    <t>after 5 days</t>
  </si>
  <si>
    <t>after 10 days</t>
  </si>
  <si>
    <t>after 15 days</t>
  </si>
  <si>
    <t>after 20 days</t>
  </si>
  <si>
    <t>after 25 days</t>
  </si>
  <si>
    <t>after 30 days</t>
  </si>
  <si>
    <t>Expected Total Number of Infected</t>
  </si>
  <si>
    <t>Maximum</t>
  </si>
  <si>
    <t>Simulation Status</t>
  </si>
  <si>
    <t>DONE</t>
  </si>
  <si>
    <t>Max Simulation</t>
  </si>
  <si>
    <t xml:space="preserve"> </t>
  </si>
  <si>
    <t>Probability of becoming Infected (with deviations at around 5%)</t>
  </si>
  <si>
    <t>Low Risk</t>
  </si>
  <si>
    <t>High Risk</t>
  </si>
  <si>
    <t>INPUTS:</t>
  </si>
  <si>
    <t>Description</t>
  </si>
  <si>
    <t>Average number of interactions</t>
  </si>
  <si>
    <t>OUTPUT:</t>
  </si>
  <si>
    <t>THRESHOLD</t>
  </si>
  <si>
    <t>Low risk employees</t>
  </si>
  <si>
    <t>High risk employees</t>
  </si>
  <si>
    <t>The area (in square meters) of each office type</t>
  </si>
  <si>
    <t>Industrial Sector</t>
  </si>
  <si>
    <t>Average Risk Score</t>
  </si>
  <si>
    <t>Accommodation and Food Service Activities</t>
  </si>
  <si>
    <t>Activities of Households as Employers; Undifferentiated Goods-and Services-producing Activities of Households for Own Use</t>
  </si>
  <si>
    <t>Administrative and Support Service Activities</t>
  </si>
  <si>
    <t>Agriculture, Forestry and Fishing</t>
  </si>
  <si>
    <t>Arts, Entertainment and Recreation</t>
  </si>
  <si>
    <t>Construction</t>
  </si>
  <si>
    <t>Education</t>
  </si>
  <si>
    <t>Electricity, Gas, Steam and Air Conditioning Supply</t>
  </si>
  <si>
    <t>Financial  and Insurance Activities</t>
  </si>
  <si>
    <t>Human Health and Social Work Activities</t>
  </si>
  <si>
    <t>Information and Communication</t>
  </si>
  <si>
    <t>Manufacturing</t>
  </si>
  <si>
    <t>Mining and Quarrying</t>
  </si>
  <si>
    <t>Other Service Activities</t>
  </si>
  <si>
    <t>Professional, Scientific and Technical Activities</t>
  </si>
  <si>
    <t>Public Administration and Defense; Compulsory Social Security</t>
  </si>
  <si>
    <t>Real Estate Activities</t>
  </si>
  <si>
    <t>Transportation  and  storage</t>
  </si>
  <si>
    <t>Water Supply; Sewerage, Waste Management and Remediation Activities</t>
  </si>
  <si>
    <t>Wholesale and Retail Trade; Repair of Motor Vehicles and Motorcycles</t>
  </si>
  <si>
    <t>TRANMISSION</t>
  </si>
  <si>
    <t>TOTAL NUMBER OF EMPLOYEES</t>
  </si>
  <si>
    <t>NUMBER OF OFFICE TYPES/FLOORS</t>
  </si>
  <si>
    <t>OFFICE TYPE/FLOOR</t>
  </si>
  <si>
    <t>No. of 
Employees</t>
  </si>
  <si>
    <t>Floor Area (in sq. m.)</t>
  </si>
  <si>
    <t>Average number 
of interactions*</t>
  </si>
  <si>
    <t>Threshold</t>
  </si>
  <si>
    <t>OFFICE TYPE/
FLOOR</t>
  </si>
  <si>
    <t>FLOOR AREA</t>
  </si>
  <si>
    <t>NUMBER OF
EMPLOYEES</t>
  </si>
  <si>
    <t>DENSITY</t>
  </si>
  <si>
    <t>AVERAGE
INTERACTION</t>
  </si>
  <si>
    <t>PROJECTED NUMBER OF 
INFECTED INDIVIDUALS</t>
  </si>
  <si>
    <t>µ</t>
  </si>
  <si>
    <t>dispersion</t>
  </si>
  <si>
    <t>Assumption</t>
  </si>
  <si>
    <t>RISK</t>
  </si>
  <si>
    <t>Multiplier</t>
  </si>
  <si>
    <t>* Average number of interactions is the number of physical interaction among employees within offices/floors.</t>
  </si>
  <si>
    <t>Institute of Mathematical Sciences and Physics</t>
  </si>
  <si>
    <t>Floor area</t>
  </si>
  <si>
    <t>No. of employees per floor</t>
  </si>
  <si>
    <t>Daily average number of people that one employee interacts with inside the company (minimum of 1)</t>
  </si>
  <si>
    <t>This is somewhere in between low risk employees and high risk employees</t>
  </si>
  <si>
    <t>The number of infected employees that will result in a 90% probability of outbreak in the company</t>
  </si>
  <si>
    <t>Expected number or percentage of employees infected after 5, 10, 15, …, 30 days</t>
  </si>
  <si>
    <t>AVERAGE RISK (dropdown)</t>
  </si>
  <si>
    <t>University of the Philippines Los Baños</t>
  </si>
  <si>
    <t>If you have queries, please send an email to: jbmamplata@up.edu.ph; jfrabajante@up.edu.ph</t>
  </si>
  <si>
    <t>WORKPLACE COVID-19 OUTBREAK THRESHOLD 
AND TRANSMISSION MICROSIMULATION</t>
  </si>
  <si>
    <t>UP COVID-19 Pandemic Response Team</t>
  </si>
  <si>
    <t>Low-risk population</t>
  </si>
  <si>
    <t>Moderate-risk population</t>
  </si>
  <si>
    <t>Moderate Risk</t>
  </si>
  <si>
    <t>Moderate risk employees</t>
  </si>
  <si>
    <t>High-risk population</t>
  </si>
  <si>
    <t>TRANSMISSION MICROSIMULATION IF OUTBREAK IS NOT CONTAINED</t>
  </si>
  <si>
    <t>Please click the button</t>
  </si>
  <si>
    <t>Number of employees allowed to physically work in the office</t>
  </si>
  <si>
    <t>Threshold*</t>
  </si>
  <si>
    <t>*Outbreak threshold is the number of infected individuals that can start an outbreak with 90% probability</t>
  </si>
  <si>
    <t>Estimated number of employees per office type (total number of employees should be more than 1)</t>
  </si>
  <si>
    <t>This is the number of employees that do not have interaction from the outside during office hours (e.g., back office)</t>
  </si>
  <si>
    <t>These are highly vulnerable to be infected due to the nature of their jobs (e.g., front desk officers)</t>
  </si>
  <si>
    <t>Computed R_0**</t>
  </si>
  <si>
    <t>**R_0 or the basic reproduction number (a measure of contagiousness of the disease in a specific setting) is the average number of persons that an infected individual is expected to directly infect</t>
  </si>
  <si>
    <t>Minimum*</t>
  </si>
  <si>
    <t>*greater than or equal to 1m is recommended</t>
  </si>
  <si>
    <t>*Low risk employees do not have interaction from outside during office hours (e.g., back office employees)  
*High risk employees are highly vulnerable to be infected due to their nature of jobs (e.g. front desk officers) 
*Moderate risk employees are somewhere in between low risk and high risk</t>
  </si>
  <si>
    <t>Employee Profile</t>
  </si>
  <si>
    <t>Min</t>
  </si>
  <si>
    <t>Max</t>
  </si>
  <si>
    <t>Protection Measures</t>
  </si>
  <si>
    <r>
      <t xml:space="preserve">Physical Distance
</t>
    </r>
    <r>
      <rPr>
        <b/>
        <sz val="9"/>
        <color theme="1"/>
        <rFont val="Calibri (Body)"/>
      </rPr>
      <t>(in meters)</t>
    </r>
  </si>
  <si>
    <t>OUTBREAK THRESHOLD (Assumption: 90% Outbreak Probability)</t>
  </si>
  <si>
    <t>Wearing of face mask</t>
  </si>
  <si>
    <t>Regular sanitizing</t>
  </si>
  <si>
    <t>Avoiding crowd places</t>
  </si>
  <si>
    <t>Probability of committing to the measure</t>
  </si>
  <si>
    <r>
      <t>Average risk value of employees based on the nature of work (</t>
    </r>
    <r>
      <rPr>
        <b/>
        <sz val="14"/>
        <color rgb="FF0070C0"/>
        <rFont val="Calibri (Body)"/>
      </rPr>
      <t>you can also use the Job Risk Profiling Calculator</t>
    </r>
    <r>
      <rPr>
        <sz val="14"/>
        <color theme="1"/>
        <rFont val="Calibri"/>
        <family val="2"/>
        <scheme val="minor"/>
      </rPr>
      <t>)</t>
    </r>
  </si>
  <si>
    <t>AVERAGE RISK (use the dropdown)</t>
  </si>
  <si>
    <t>Physical Distance (in meters)</t>
  </si>
  <si>
    <t>INPUT PREVENTIVE OR CONTROL MEASURES HERE</t>
  </si>
  <si>
    <t>YOU CAN DO SCENARIO SIMULATIONS</t>
  </si>
  <si>
    <t>distance of greater than or equal to 1m is recommended</t>
  </si>
  <si>
    <t>DECISION GUIDE</t>
  </si>
  <si>
    <t>(Simulation results can be used as guide but should not be used as the sole decision criterion)</t>
  </si>
  <si>
    <t>The number of COVID-19 cases in a workplace should be kept less than the outbreak threshold.</t>
  </si>
  <si>
    <r>
      <rPr>
        <b/>
        <sz val="11"/>
        <color theme="1"/>
        <rFont val="Calibri"/>
        <family val="2"/>
        <scheme val="minor"/>
      </rPr>
      <t>Outbreak threshold</t>
    </r>
    <r>
      <rPr>
        <sz val="11"/>
        <color theme="1"/>
        <rFont val="Calibri"/>
        <family val="2"/>
        <scheme val="minor"/>
      </rPr>
      <t xml:space="preserve"> is the number of initial infected individuals (usually imported) that can start an outbreak with 90% probability.</t>
    </r>
  </si>
  <si>
    <t>Preventive measures (e.g., minimum health standards imposed by the government) should be strictly followed.</t>
  </si>
  <si>
    <t>Contact tracing, risk-based testing, and cluster-based surveillance can be done on top of the minimum health standards.</t>
  </si>
  <si>
    <t>Administrative and engineering controls, as set by the government, should be implemented.</t>
  </si>
  <si>
    <t>Percent of employees going to work</t>
  </si>
  <si>
    <t>Outbreak Threshold</t>
  </si>
  <si>
    <t>Calculated values that can be used for decision-making</t>
  </si>
  <si>
    <t>Basic Reporoduction Number (R_0)</t>
  </si>
  <si>
    <t>R_0 or the basic reproduction number is a common epidemiological measure of contagiousness of a disease under a specific setting. It can be interpreted as the average number of persons that a COVID-19 positive individual may directly infect.</t>
  </si>
  <si>
    <t>If R_0&gt;1, an outbreak is imminent. The organization should do preventive measures to inhibit the entry of the initial cases in the workplace.</t>
  </si>
  <si>
    <t>Suppose COVID-19 transmission is not contained, it is projected that after several days the number of infection can increase exponentially.</t>
  </si>
  <si>
    <t>Control measures must be implemented as fast as possible.</t>
  </si>
  <si>
    <t>Expected number of infected individuals if COVID-19 is not contained</t>
  </si>
  <si>
    <t>Number of days</t>
  </si>
  <si>
    <t>Cumulative number of cases</t>
  </si>
  <si>
    <t>5 days</t>
  </si>
  <si>
    <t>10 days</t>
  </si>
  <si>
    <t>15 days</t>
  </si>
  <si>
    <t>20 days</t>
  </si>
  <si>
    <t>25 days</t>
  </si>
  <si>
    <t>30 days</t>
  </si>
  <si>
    <t>(assuming 100% of employees are going to work)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</si>
</sst>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i/>
      <sz val="11"/>
      <color theme="2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36"/>
      <color theme="4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Calibri (Body)"/>
    </font>
    <font>
      <b/>
      <sz val="11"/>
      <color rgb="FFC00000"/>
      <name val="Calibri"/>
      <family val="2"/>
      <scheme val="minor"/>
    </font>
    <font>
      <b/>
      <sz val="14"/>
      <color rgb="FF0070C0"/>
      <name val="Calibri (Body)"/>
    </font>
    <font>
      <b/>
      <sz val="18"/>
      <color theme="8" tint="-0.249977111117893"/>
      <name val="Calibri"/>
      <family val="2"/>
      <scheme val="minor"/>
    </font>
    <font>
      <b/>
      <sz val="2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BFEFF"/>
        <bgColor indexed="64"/>
      </patternFill>
    </fill>
    <fill>
      <patternFill patternType="solid">
        <fgColor rgb="FFB9FCFF"/>
        <bgColor indexed="64"/>
      </patternFill>
    </fill>
    <fill>
      <patternFill patternType="solid">
        <fgColor rgb="FF91FAFF"/>
        <bgColor indexed="64"/>
      </patternFill>
    </fill>
    <fill>
      <patternFill patternType="solid">
        <fgColor rgb="FF69F8FF"/>
        <bgColor indexed="64"/>
      </patternFill>
    </fill>
    <fill>
      <patternFill patternType="solid">
        <fgColor rgb="FF00E5F0"/>
        <bgColor indexed="64"/>
      </patternFill>
    </fill>
    <fill>
      <patternFill patternType="solid">
        <fgColor rgb="FF00AB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00B0F0"/>
      </left>
      <right/>
      <top/>
      <bottom style="double">
        <color rgb="FF00B0F0"/>
      </bottom>
      <diagonal/>
    </border>
    <border>
      <left/>
      <right/>
      <top/>
      <bottom style="double">
        <color rgb="FF00B0F0"/>
      </bottom>
      <diagonal/>
    </border>
    <border>
      <left/>
      <right style="double">
        <color rgb="FF00B0F0"/>
      </right>
      <top/>
      <bottom style="double">
        <color rgb="FF00B0F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thin">
        <color indexed="64"/>
      </bottom>
      <diagonal/>
    </border>
    <border>
      <left/>
      <right/>
      <top style="medium">
        <color rgb="FFFF0000"/>
      </top>
      <bottom style="thin">
        <color indexed="64"/>
      </bottom>
      <diagonal/>
    </border>
    <border>
      <left/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/>
      <top style="thin">
        <color indexed="64"/>
      </top>
      <bottom style="thin">
        <color theme="1"/>
      </bottom>
      <diagonal/>
    </border>
    <border>
      <left/>
      <right/>
      <top style="thin">
        <color theme="1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C00000"/>
      </right>
      <top style="thin">
        <color indexed="64"/>
      </top>
      <bottom style="thin">
        <color indexed="64"/>
      </bottom>
      <diagonal/>
    </border>
    <border>
      <left style="medium">
        <color rgb="FFC00000"/>
      </left>
      <right style="thin">
        <color indexed="64"/>
      </right>
      <top style="thin">
        <color indexed="64"/>
      </top>
      <bottom style="medium">
        <color rgb="FFC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C00000"/>
      </bottom>
      <diagonal/>
    </border>
    <border>
      <left style="thin">
        <color indexed="64"/>
      </left>
      <right style="medium">
        <color rgb="FFC00000"/>
      </right>
      <top style="thin">
        <color indexed="64"/>
      </top>
      <bottom style="medium">
        <color rgb="FFC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00B0F0"/>
      </left>
      <right/>
      <top style="double">
        <color rgb="FF00B0F0"/>
      </top>
      <bottom/>
      <diagonal/>
    </border>
    <border>
      <left/>
      <right/>
      <top style="double">
        <color rgb="FF00B0F0"/>
      </top>
      <bottom/>
      <diagonal/>
    </border>
    <border>
      <left style="double">
        <color rgb="FF00B0F0"/>
      </left>
      <right/>
      <top style="double">
        <color rgb="FF00B0F0"/>
      </top>
      <bottom style="double">
        <color rgb="FF00B0F0"/>
      </bottom>
      <diagonal/>
    </border>
    <border>
      <left/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 style="double">
        <color rgb="FF00B0F0"/>
      </right>
      <top/>
      <bottom style="double">
        <color rgb="FF00B0F0"/>
      </bottom>
      <diagonal/>
    </border>
    <border>
      <left/>
      <right style="double">
        <color rgb="FF00B0F0"/>
      </right>
      <top style="double">
        <color rgb="FF00B0F0"/>
      </top>
      <bottom/>
      <diagonal/>
    </border>
    <border>
      <left/>
      <right/>
      <top style="double">
        <color rgb="FF00B0F0"/>
      </top>
      <bottom style="double">
        <color rgb="FF00B0F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3" applyNumberFormat="0" applyFill="0" applyAlignment="0" applyProtection="0"/>
    <xf numFmtId="0" fontId="8" fillId="0" borderId="0">
      <alignment horizontal="center" vertical="center" wrapText="1"/>
    </xf>
  </cellStyleXfs>
  <cellXfs count="243">
    <xf numFmtId="0" fontId="0" fillId="0" borderId="0" xfId="0"/>
    <xf numFmtId="0" fontId="0" fillId="0" borderId="0" xfId="0" applyAlignment="1">
      <alignment horizontal="center" vertical="center"/>
    </xf>
    <xf numFmtId="9" fontId="0" fillId="12" borderId="1" xfId="0" applyNumberFormat="1" applyFill="1" applyBorder="1" applyAlignment="1">
      <alignment horizontal="center" vertical="center"/>
    </xf>
    <xf numFmtId="9" fontId="0" fillId="12" borderId="2" xfId="0" applyNumberFormat="1" applyFill="1" applyBorder="1" applyAlignment="1">
      <alignment horizontal="center" vertical="center"/>
    </xf>
    <xf numFmtId="0" fontId="2" fillId="12" borderId="11" xfId="0" applyFont="1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0" fontId="0" fillId="12" borderId="14" xfId="0" applyFill="1" applyBorder="1" applyAlignment="1">
      <alignment horizontal="center" vertical="center"/>
    </xf>
    <xf numFmtId="0" fontId="0" fillId="12" borderId="15" xfId="0" applyFill="1" applyBorder="1" applyAlignment="1">
      <alignment horizontal="center" vertical="center"/>
    </xf>
    <xf numFmtId="0" fontId="0" fillId="12" borderId="16" xfId="0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 wrapText="1"/>
    </xf>
    <xf numFmtId="0" fontId="9" fillId="7" borderId="9" xfId="0" applyFont="1" applyFill="1" applyBorder="1" applyAlignment="1">
      <alignment horizontal="center" vertical="center" wrapText="1"/>
    </xf>
    <xf numFmtId="0" fontId="9" fillId="8" borderId="9" xfId="0" applyFont="1" applyFill="1" applyBorder="1" applyAlignment="1">
      <alignment horizontal="center" vertical="center" wrapText="1"/>
    </xf>
    <xf numFmtId="0" fontId="9" fillId="9" borderId="9" xfId="0" applyFont="1" applyFill="1" applyBorder="1" applyAlignment="1">
      <alignment horizontal="center" vertical="center" wrapText="1"/>
    </xf>
    <xf numFmtId="0" fontId="9" fillId="10" borderId="9" xfId="0" applyFont="1" applyFill="1" applyBorder="1" applyAlignment="1">
      <alignment horizontal="center" vertical="center" wrapText="1"/>
    </xf>
    <xf numFmtId="0" fontId="9" fillId="11" borderId="10" xfId="0" applyFont="1" applyFill="1" applyBorder="1" applyAlignment="1">
      <alignment horizontal="center" vertical="center" wrapText="1"/>
    </xf>
    <xf numFmtId="9" fontId="0" fillId="12" borderId="17" xfId="0" applyNumberFormat="1" applyFill="1" applyBorder="1" applyAlignment="1">
      <alignment horizontal="center" vertical="center"/>
    </xf>
    <xf numFmtId="9" fontId="0" fillId="12" borderId="18" xfId="0" applyNumberFormat="1" applyFill="1" applyBorder="1" applyAlignment="1">
      <alignment horizontal="center" vertical="center"/>
    </xf>
    <xf numFmtId="9" fontId="0" fillId="12" borderId="19" xfId="0" applyNumberFormat="1" applyFill="1" applyBorder="1" applyAlignment="1">
      <alignment horizontal="center" vertical="center"/>
    </xf>
    <xf numFmtId="9" fontId="0" fillId="12" borderId="20" xfId="0" applyNumberFormat="1" applyFill="1" applyBorder="1" applyAlignment="1">
      <alignment horizontal="center" vertical="center"/>
    </xf>
    <xf numFmtId="9" fontId="0" fillId="12" borderId="21" xfId="0" applyNumberFormat="1" applyFill="1" applyBorder="1" applyAlignment="1">
      <alignment horizontal="center" vertical="center"/>
    </xf>
    <xf numFmtId="9" fontId="0" fillId="12" borderId="22" xfId="0" applyNumberFormat="1" applyFill="1" applyBorder="1" applyAlignment="1">
      <alignment horizontal="center" vertical="center"/>
    </xf>
    <xf numFmtId="0" fontId="9" fillId="6" borderId="14" xfId="0" applyFont="1" applyFill="1" applyBorder="1" applyAlignment="1">
      <alignment horizontal="center" vertical="center" wrapText="1"/>
    </xf>
    <xf numFmtId="9" fontId="0" fillId="12" borderId="23" xfId="0" applyNumberFormat="1" applyFill="1" applyBorder="1" applyAlignment="1">
      <alignment horizontal="center" vertical="center"/>
    </xf>
    <xf numFmtId="0" fontId="2" fillId="12" borderId="0" xfId="0" applyFont="1" applyFill="1" applyBorder="1" applyAlignment="1">
      <alignment vertical="center"/>
    </xf>
    <xf numFmtId="0" fontId="2" fillId="12" borderId="0" xfId="0" applyFont="1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2" borderId="7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 wrapText="1"/>
    </xf>
    <xf numFmtId="0" fontId="7" fillId="12" borderId="0" xfId="1" applyFont="1" applyFill="1" applyBorder="1" applyAlignment="1">
      <alignment horizontal="left" vertical="center" wrapText="1"/>
    </xf>
    <xf numFmtId="0" fontId="2" fillId="14" borderId="26" xfId="0" applyFont="1" applyFill="1" applyBorder="1"/>
    <xf numFmtId="0" fontId="2" fillId="5" borderId="27" xfId="0" applyFont="1" applyFill="1" applyBorder="1"/>
    <xf numFmtId="0" fontId="0" fillId="14" borderId="28" xfId="0" applyFill="1" applyBorder="1"/>
    <xf numFmtId="0" fontId="0" fillId="5" borderId="29" xfId="0" applyFill="1" applyBorder="1"/>
    <xf numFmtId="0" fontId="0" fillId="14" borderId="30" xfId="0" applyFill="1" applyBorder="1"/>
    <xf numFmtId="0" fontId="0" fillId="5" borderId="31" xfId="0" applyFill="1" applyBorder="1"/>
    <xf numFmtId="0" fontId="0" fillId="12" borderId="0" xfId="0" applyFill="1"/>
    <xf numFmtId="0" fontId="0" fillId="0" borderId="0" xfId="0" applyAlignment="1">
      <alignment vertical="center"/>
    </xf>
    <xf numFmtId="0" fontId="14" fillId="0" borderId="0" xfId="0" applyFont="1"/>
    <xf numFmtId="0" fontId="14" fillId="2" borderId="26" xfId="0" applyFont="1" applyFill="1" applyBorder="1" applyAlignment="1">
      <alignment vertical="center"/>
    </xf>
    <xf numFmtId="0" fontId="14" fillId="2" borderId="30" xfId="0" applyFont="1" applyFill="1" applyBorder="1"/>
    <xf numFmtId="0" fontId="0" fillId="0" borderId="25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5" xfId="0" applyBorder="1"/>
    <xf numFmtId="0" fontId="17" fillId="0" borderId="25" xfId="0" applyFont="1" applyBorder="1" applyAlignment="1">
      <alignment horizontal="center"/>
    </xf>
    <xf numFmtId="0" fontId="17" fillId="0" borderId="25" xfId="0" applyFont="1" applyBorder="1"/>
    <xf numFmtId="1" fontId="0" fillId="0" borderId="25" xfId="0" applyNumberFormat="1" applyBorder="1"/>
    <xf numFmtId="9" fontId="18" fillId="0" borderId="0" xfId="0" applyNumberFormat="1" applyFont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4" fillId="12" borderId="0" xfId="0" applyFont="1" applyFill="1"/>
    <xf numFmtId="0" fontId="0" fillId="12" borderId="0" xfId="0" applyFill="1" applyAlignment="1">
      <alignment vertical="center"/>
    </xf>
    <xf numFmtId="1" fontId="11" fillId="12" borderId="8" xfId="0" applyNumberFormat="1" applyFont="1" applyFill="1" applyBorder="1" applyAlignment="1">
      <alignment horizontal="center" vertical="center"/>
    </xf>
    <xf numFmtId="1" fontId="11" fillId="12" borderId="9" xfId="0" applyNumberFormat="1" applyFont="1" applyFill="1" applyBorder="1" applyAlignment="1">
      <alignment horizontal="center" vertical="center"/>
    </xf>
    <xf numFmtId="1" fontId="11" fillId="12" borderId="10" xfId="0" applyNumberFormat="1" applyFont="1" applyFill="1" applyBorder="1" applyAlignment="1">
      <alignment horizontal="center" vertical="center"/>
    </xf>
    <xf numFmtId="0" fontId="23" fillId="0" borderId="0" xfId="0" applyFont="1" applyBorder="1" applyAlignment="1">
      <alignment vertical="center"/>
    </xf>
    <xf numFmtId="0" fontId="24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left" vertical="center"/>
    </xf>
    <xf numFmtId="0" fontId="14" fillId="2" borderId="35" xfId="0" applyFont="1" applyFill="1" applyBorder="1" applyAlignment="1">
      <alignment horizontal="center"/>
    </xf>
    <xf numFmtId="0" fontId="2" fillId="12" borderId="7" xfId="0" applyFont="1" applyFill="1" applyBorder="1" applyAlignment="1">
      <alignment horizontal="center" vertical="center" wrapText="1"/>
    </xf>
    <xf numFmtId="0" fontId="2" fillId="12" borderId="58" xfId="1" applyFill="1" applyBorder="1" applyAlignment="1">
      <alignment horizontal="center" vertical="center"/>
    </xf>
    <xf numFmtId="1" fontId="2" fillId="4" borderId="6" xfId="1" applyNumberFormat="1" applyFont="1" applyFill="1" applyBorder="1" applyAlignment="1">
      <alignment horizontal="center" vertical="center"/>
    </xf>
    <xf numFmtId="0" fontId="2" fillId="12" borderId="61" xfId="1" applyFill="1" applyBorder="1" applyAlignment="1">
      <alignment horizontal="center" vertical="center"/>
    </xf>
    <xf numFmtId="9" fontId="2" fillId="4" borderId="58" xfId="1" applyNumberFormat="1" applyFill="1" applyBorder="1" applyAlignment="1">
      <alignment horizontal="center" vertical="center"/>
    </xf>
    <xf numFmtId="0" fontId="4" fillId="12" borderId="59" xfId="0" applyFont="1" applyFill="1" applyBorder="1" applyAlignment="1">
      <alignment horizontal="center" vertical="center" wrapText="1"/>
    </xf>
    <xf numFmtId="0" fontId="0" fillId="12" borderId="60" xfId="0" applyNumberFormat="1" applyFont="1" applyFill="1" applyBorder="1" applyAlignment="1">
      <alignment horizontal="center" vertical="center" wrapText="1"/>
    </xf>
    <xf numFmtId="0" fontId="22" fillId="0" borderId="44" xfId="0" applyFont="1" applyBorder="1" applyAlignment="1">
      <alignment horizontal="center" vertical="center" wrapText="1"/>
    </xf>
    <xf numFmtId="0" fontId="22" fillId="0" borderId="44" xfId="0" applyFont="1" applyBorder="1" applyAlignment="1">
      <alignment horizontal="center" vertical="center"/>
    </xf>
    <xf numFmtId="0" fontId="15" fillId="12" borderId="34" xfId="0" applyFont="1" applyFill="1" applyBorder="1" applyAlignment="1">
      <alignment horizontal="center"/>
    </xf>
    <xf numFmtId="0" fontId="14" fillId="2" borderId="26" xfId="0" applyFont="1" applyFill="1" applyBorder="1" applyAlignment="1">
      <alignment horizontal="center"/>
    </xf>
    <xf numFmtId="0" fontId="14" fillId="2" borderId="35" xfId="0" applyFont="1" applyFill="1" applyBorder="1" applyAlignment="1">
      <alignment horizontal="center"/>
    </xf>
    <xf numFmtId="0" fontId="14" fillId="2" borderId="37" xfId="0" applyFont="1" applyFill="1" applyBorder="1" applyAlignment="1">
      <alignment horizontal="center"/>
    </xf>
    <xf numFmtId="0" fontId="14" fillId="2" borderId="28" xfId="0" applyFont="1" applyFill="1" applyBorder="1" applyAlignment="1">
      <alignment horizontal="center" vertical="center"/>
    </xf>
    <xf numFmtId="0" fontId="14" fillId="2" borderId="30" xfId="0" applyFont="1" applyFill="1" applyBorder="1" applyAlignment="1">
      <alignment horizontal="center" vertical="center"/>
    </xf>
    <xf numFmtId="2" fontId="11" fillId="15" borderId="32" xfId="0" applyNumberFormat="1" applyFont="1" applyFill="1" applyBorder="1" applyAlignment="1">
      <alignment horizontal="center" vertical="center"/>
    </xf>
    <xf numFmtId="2" fontId="11" fillId="15" borderId="38" xfId="0" applyNumberFormat="1" applyFont="1" applyFill="1" applyBorder="1" applyAlignment="1">
      <alignment horizontal="center" vertical="center"/>
    </xf>
    <xf numFmtId="1" fontId="2" fillId="4" borderId="4" xfId="1" applyNumberFormat="1" applyFont="1" applyFill="1" applyBorder="1" applyAlignment="1">
      <alignment horizontal="center" vertical="center" wrapText="1"/>
    </xf>
    <xf numFmtId="1" fontId="2" fillId="4" borderId="5" xfId="1" applyNumberFormat="1" applyFont="1" applyFill="1" applyBorder="1" applyAlignment="1">
      <alignment horizontal="center" vertical="center" wrapText="1"/>
    </xf>
    <xf numFmtId="0" fontId="2" fillId="12" borderId="55" xfId="1" applyFill="1" applyBorder="1" applyAlignment="1">
      <alignment horizontal="center" vertical="center"/>
    </xf>
    <xf numFmtId="0" fontId="2" fillId="12" borderId="56" xfId="1" applyFill="1" applyBorder="1" applyAlignment="1">
      <alignment horizontal="center" vertical="center"/>
    </xf>
    <xf numFmtId="0" fontId="19" fillId="18" borderId="51" xfId="0" applyFont="1" applyFill="1" applyBorder="1" applyAlignment="1">
      <alignment horizontal="center" vertical="center"/>
    </xf>
    <xf numFmtId="0" fontId="19" fillId="18" borderId="52" xfId="0" applyFont="1" applyFill="1" applyBorder="1" applyAlignment="1">
      <alignment horizontal="center" vertical="center"/>
    </xf>
    <xf numFmtId="9" fontId="19" fillId="18" borderId="52" xfId="0" applyNumberFormat="1" applyFont="1" applyFill="1" applyBorder="1" applyAlignment="1">
      <alignment horizontal="center" vertical="center"/>
    </xf>
    <xf numFmtId="2" fontId="19" fillId="18" borderId="52" xfId="0" applyNumberFormat="1" applyFont="1" applyFill="1" applyBorder="1" applyAlignment="1">
      <alignment horizontal="center" vertical="center"/>
    </xf>
    <xf numFmtId="2" fontId="19" fillId="18" borderId="53" xfId="0" applyNumberFormat="1" applyFont="1" applyFill="1" applyBorder="1" applyAlignment="1">
      <alignment horizontal="center" vertical="center"/>
    </xf>
    <xf numFmtId="0" fontId="19" fillId="19" borderId="49" xfId="0" applyFont="1" applyFill="1" applyBorder="1" applyAlignment="1">
      <alignment horizontal="center" vertical="center"/>
    </xf>
    <xf numFmtId="0" fontId="19" fillId="19" borderId="25" xfId="0" applyFont="1" applyFill="1" applyBorder="1" applyAlignment="1">
      <alignment horizontal="center" vertical="center"/>
    </xf>
    <xf numFmtId="2" fontId="19" fillId="21" borderId="25" xfId="0" applyNumberFormat="1" applyFont="1" applyFill="1" applyBorder="1" applyAlignment="1">
      <alignment horizontal="center" vertical="center" wrapText="1"/>
    </xf>
    <xf numFmtId="2" fontId="19" fillId="20" borderId="25" xfId="0" applyNumberFormat="1" applyFont="1" applyFill="1" applyBorder="1" applyAlignment="1">
      <alignment horizontal="center" vertical="center"/>
    </xf>
    <xf numFmtId="2" fontId="19" fillId="17" borderId="25" xfId="0" applyNumberFormat="1" applyFont="1" applyFill="1" applyBorder="1" applyAlignment="1">
      <alignment horizontal="center" vertical="center"/>
    </xf>
    <xf numFmtId="2" fontId="19" fillId="19" borderId="25" xfId="0" applyNumberFormat="1" applyFont="1" applyFill="1" applyBorder="1" applyAlignment="1">
      <alignment horizontal="center" vertical="center"/>
    </xf>
    <xf numFmtId="2" fontId="19" fillId="19" borderId="50" xfId="0" applyNumberFormat="1" applyFont="1" applyFill="1" applyBorder="1" applyAlignment="1">
      <alignment horizontal="center" vertical="center"/>
    </xf>
    <xf numFmtId="0" fontId="19" fillId="20" borderId="49" xfId="0" applyFont="1" applyFill="1" applyBorder="1" applyAlignment="1">
      <alignment horizontal="center" vertical="center"/>
    </xf>
    <xf numFmtId="0" fontId="19" fillId="20" borderId="25" xfId="0" applyFont="1" applyFill="1" applyBorder="1" applyAlignment="1">
      <alignment horizontal="center" vertical="center"/>
    </xf>
    <xf numFmtId="0" fontId="19" fillId="17" borderId="49" xfId="0" applyFont="1" applyFill="1" applyBorder="1" applyAlignment="1">
      <alignment horizontal="center" vertical="center"/>
    </xf>
    <xf numFmtId="0" fontId="19" fillId="17" borderId="25" xfId="0" applyFont="1" applyFill="1" applyBorder="1" applyAlignment="1">
      <alignment horizontal="center" vertical="center"/>
    </xf>
    <xf numFmtId="0" fontId="12" fillId="12" borderId="49" xfId="0" applyFont="1" applyFill="1" applyBorder="1" applyAlignment="1">
      <alignment horizontal="center" vertical="center" wrapText="1"/>
    </xf>
    <xf numFmtId="0" fontId="12" fillId="12" borderId="25" xfId="0" applyFont="1" applyFill="1" applyBorder="1" applyAlignment="1">
      <alignment horizontal="center" vertical="center" wrapText="1"/>
    </xf>
    <xf numFmtId="0" fontId="12" fillId="2" borderId="25" xfId="0" applyFont="1" applyFill="1" applyBorder="1" applyAlignment="1">
      <alignment horizontal="center" vertical="center"/>
    </xf>
    <xf numFmtId="0" fontId="12" fillId="2" borderId="50" xfId="0" applyFont="1" applyFill="1" applyBorder="1" applyAlignment="1">
      <alignment horizontal="center" vertical="center"/>
    </xf>
    <xf numFmtId="0" fontId="19" fillId="21" borderId="49" xfId="0" applyFont="1" applyFill="1" applyBorder="1" applyAlignment="1">
      <alignment horizontal="center" vertical="center"/>
    </xf>
    <xf numFmtId="0" fontId="19" fillId="21" borderId="25" xfId="0" applyFont="1" applyFill="1" applyBorder="1" applyAlignment="1">
      <alignment horizontal="center" vertical="center"/>
    </xf>
    <xf numFmtId="2" fontId="19" fillId="21" borderId="50" xfId="0" applyNumberFormat="1" applyFont="1" applyFill="1" applyBorder="1" applyAlignment="1">
      <alignment horizontal="center" vertical="center" wrapText="1"/>
    </xf>
    <xf numFmtId="2" fontId="19" fillId="20" borderId="50" xfId="0" applyNumberFormat="1" applyFont="1" applyFill="1" applyBorder="1" applyAlignment="1">
      <alignment horizontal="center" vertical="center"/>
    </xf>
    <xf numFmtId="2" fontId="19" fillId="17" borderId="50" xfId="0" applyNumberFormat="1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13" fillId="0" borderId="7" xfId="0" applyFont="1" applyBorder="1" applyAlignment="1">
      <alignment horizontal="left" vertical="center" wrapText="1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0" fontId="9" fillId="12" borderId="7" xfId="0" applyFont="1" applyFill="1" applyBorder="1" applyAlignment="1">
      <alignment horizontal="left" vertical="center"/>
    </xf>
    <xf numFmtId="0" fontId="0" fillId="12" borderId="0" xfId="0" applyFill="1" applyAlignment="1">
      <alignment horizontal="left" vertical="center" wrapText="1"/>
    </xf>
    <xf numFmtId="0" fontId="21" fillId="13" borderId="7" xfId="0" applyFont="1" applyFill="1" applyBorder="1" applyAlignment="1">
      <alignment horizontal="center" vertical="center" wrapText="1"/>
    </xf>
    <xf numFmtId="0" fontId="2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13" borderId="7" xfId="0" applyFont="1" applyFill="1" applyBorder="1" applyAlignment="1">
      <alignment horizontal="center" vertical="center" wrapText="1"/>
    </xf>
    <xf numFmtId="0" fontId="12" fillId="13" borderId="7" xfId="0" applyFont="1" applyFill="1" applyBorder="1" applyAlignment="1">
      <alignment horizontal="center" vertical="center" wrapText="1"/>
    </xf>
    <xf numFmtId="0" fontId="9" fillId="0" borderId="7" xfId="1" applyFont="1" applyBorder="1" applyAlignment="1">
      <alignment horizontal="left" vertical="center" wrapText="1"/>
    </xf>
    <xf numFmtId="0" fontId="10" fillId="12" borderId="57" xfId="1" applyFont="1" applyFill="1" applyBorder="1" applyAlignment="1">
      <alignment horizontal="center" vertical="center" wrapText="1"/>
    </xf>
    <xf numFmtId="0" fontId="10" fillId="12" borderId="62" xfId="1" applyFont="1" applyFill="1" applyBorder="1" applyAlignment="1">
      <alignment horizontal="center" vertical="center" wrapText="1"/>
    </xf>
    <xf numFmtId="0" fontId="12" fillId="13" borderId="7" xfId="1" applyFont="1" applyFill="1" applyBorder="1" applyAlignment="1">
      <alignment horizontal="center" vertical="center" wrapText="1"/>
    </xf>
    <xf numFmtId="0" fontId="2" fillId="12" borderId="57" xfId="1" applyFill="1" applyBorder="1" applyAlignment="1">
      <alignment horizontal="center" vertical="center"/>
    </xf>
    <xf numFmtId="0" fontId="2" fillId="12" borderId="62" xfId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14" fillId="8" borderId="25" xfId="0" applyFont="1" applyFill="1" applyBorder="1" applyAlignment="1">
      <alignment horizontal="center"/>
    </xf>
    <xf numFmtId="1" fontId="14" fillId="8" borderId="25" xfId="0" applyNumberFormat="1" applyFont="1" applyFill="1" applyBorder="1" applyAlignment="1">
      <alignment horizontal="center"/>
    </xf>
    <xf numFmtId="0" fontId="11" fillId="8" borderId="37" xfId="0" applyFont="1" applyFill="1" applyBorder="1" applyAlignment="1">
      <alignment horizontal="center" vertical="center"/>
    </xf>
    <xf numFmtId="0" fontId="11" fillId="8" borderId="32" xfId="0" applyFont="1" applyFill="1" applyBorder="1" applyAlignment="1">
      <alignment horizontal="center" vertical="center"/>
    </xf>
    <xf numFmtId="0" fontId="11" fillId="8" borderId="38" xfId="0" applyFont="1" applyFill="1" applyBorder="1" applyAlignment="1">
      <alignment horizontal="center" vertical="center"/>
    </xf>
    <xf numFmtId="0" fontId="11" fillId="8" borderId="27" xfId="0" applyFont="1" applyFill="1" applyBorder="1" applyAlignment="1">
      <alignment horizontal="center" vertical="center"/>
    </xf>
    <xf numFmtId="0" fontId="11" fillId="8" borderId="29" xfId="0" applyFont="1" applyFill="1" applyBorder="1" applyAlignment="1">
      <alignment horizontal="center" vertical="center"/>
    </xf>
    <xf numFmtId="0" fontId="11" fillId="8" borderId="31" xfId="0" applyFont="1" applyFill="1" applyBorder="1" applyAlignment="1">
      <alignment horizontal="center" vertical="center"/>
    </xf>
    <xf numFmtId="0" fontId="1" fillId="8" borderId="28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/>
    </xf>
    <xf numFmtId="0" fontId="1" fillId="8" borderId="30" xfId="0" applyFont="1" applyFill="1" applyBorder="1" applyAlignment="1">
      <alignment horizontal="center" vertical="center"/>
    </xf>
    <xf numFmtId="0" fontId="1" fillId="8" borderId="36" xfId="0" applyFont="1" applyFill="1" applyBorder="1" applyAlignment="1">
      <alignment horizontal="center" vertical="center"/>
    </xf>
    <xf numFmtId="0" fontId="26" fillId="12" borderId="0" xfId="0" applyFont="1" applyFill="1" applyAlignment="1">
      <alignment horizontal="left" vertical="center"/>
    </xf>
    <xf numFmtId="0" fontId="11" fillId="2" borderId="63" xfId="0" applyFont="1" applyFill="1" applyBorder="1" applyAlignment="1">
      <alignment horizontal="center" vertical="center"/>
    </xf>
    <xf numFmtId="0" fontId="11" fillId="2" borderId="64" xfId="0" applyFont="1" applyFill="1" applyBorder="1" applyAlignment="1">
      <alignment horizontal="center" vertical="center"/>
    </xf>
    <xf numFmtId="0" fontId="14" fillId="8" borderId="25" xfId="0" applyFont="1" applyFill="1" applyBorder="1" applyAlignment="1">
      <alignment horizontal="center"/>
    </xf>
    <xf numFmtId="0" fontId="14" fillId="8" borderId="36" xfId="0" applyFont="1" applyFill="1" applyBorder="1" applyAlignment="1">
      <alignment horizontal="center"/>
    </xf>
    <xf numFmtId="0" fontId="11" fillId="2" borderId="26" xfId="0" applyFont="1" applyFill="1" applyBorder="1"/>
    <xf numFmtId="0" fontId="11" fillId="2" borderId="35" xfId="0" applyFont="1" applyFill="1" applyBorder="1" applyAlignment="1">
      <alignment horizontal="center"/>
    </xf>
    <xf numFmtId="0" fontId="14" fillId="2" borderId="28" xfId="0" applyFont="1" applyFill="1" applyBorder="1"/>
    <xf numFmtId="0" fontId="11" fillId="19" borderId="39" xfId="0" applyFont="1" applyFill="1" applyBorder="1"/>
    <xf numFmtId="0" fontId="14" fillId="19" borderId="34" xfId="0" applyFont="1" applyFill="1" applyBorder="1"/>
    <xf numFmtId="0" fontId="14" fillId="19" borderId="40" xfId="0" applyFont="1" applyFill="1" applyBorder="1"/>
    <xf numFmtId="0" fontId="14" fillId="19" borderId="41" xfId="0" applyFont="1" applyFill="1" applyBorder="1"/>
    <xf numFmtId="0" fontId="14" fillId="19" borderId="0" xfId="0" applyFont="1" applyFill="1" applyBorder="1" applyAlignment="1">
      <alignment horizontal="left"/>
    </xf>
    <xf numFmtId="0" fontId="14" fillId="19" borderId="42" xfId="0" applyFont="1" applyFill="1" applyBorder="1" applyAlignment="1">
      <alignment horizontal="left"/>
    </xf>
    <xf numFmtId="0" fontId="14" fillId="19" borderId="43" xfId="0" applyFont="1" applyFill="1" applyBorder="1"/>
    <xf numFmtId="0" fontId="14" fillId="19" borderId="44" xfId="0" applyFont="1" applyFill="1" applyBorder="1" applyAlignment="1">
      <alignment horizontal="left"/>
    </xf>
    <xf numFmtId="0" fontId="14" fillId="19" borderId="45" xfId="0" applyFont="1" applyFill="1" applyBorder="1" applyAlignment="1">
      <alignment horizontal="left"/>
    </xf>
    <xf numFmtId="0" fontId="11" fillId="23" borderId="39" xfId="0" applyFont="1" applyFill="1" applyBorder="1"/>
    <xf numFmtId="0" fontId="11" fillId="23" borderId="34" xfId="0" applyFont="1" applyFill="1" applyBorder="1" applyAlignment="1">
      <alignment horizontal="center"/>
    </xf>
    <xf numFmtId="0" fontId="11" fillId="23" borderId="40" xfId="0" applyFont="1" applyFill="1" applyBorder="1" applyAlignment="1">
      <alignment horizontal="center"/>
    </xf>
    <xf numFmtId="0" fontId="14" fillId="23" borderId="41" xfId="0" applyFont="1" applyFill="1" applyBorder="1"/>
    <xf numFmtId="0" fontId="14" fillId="23" borderId="0" xfId="0" applyFont="1" applyFill="1" applyBorder="1" applyAlignment="1">
      <alignment horizontal="left"/>
    </xf>
    <xf numFmtId="0" fontId="14" fillId="23" borderId="42" xfId="0" applyFont="1" applyFill="1" applyBorder="1" applyAlignment="1">
      <alignment horizontal="left"/>
    </xf>
    <xf numFmtId="0" fontId="14" fillId="23" borderId="43" xfId="0" applyFont="1" applyFill="1" applyBorder="1"/>
    <xf numFmtId="0" fontId="14" fillId="23" borderId="44" xfId="0" applyFont="1" applyFill="1" applyBorder="1" applyAlignment="1">
      <alignment horizontal="left"/>
    </xf>
    <xf numFmtId="0" fontId="14" fillId="23" borderId="45" xfId="0" applyFont="1" applyFill="1" applyBorder="1" applyAlignment="1">
      <alignment horizontal="left"/>
    </xf>
    <xf numFmtId="0" fontId="16" fillId="23" borderId="32" xfId="0" applyFont="1" applyFill="1" applyBorder="1" applyAlignment="1">
      <alignment horizontal="left" vertical="center" wrapText="1"/>
    </xf>
    <xf numFmtId="0" fontId="16" fillId="23" borderId="54" xfId="0" applyFont="1" applyFill="1" applyBorder="1" applyAlignment="1">
      <alignment horizontal="left" vertical="center" wrapText="1"/>
    </xf>
    <xf numFmtId="0" fontId="11" fillId="2" borderId="33" xfId="0" applyFont="1" applyFill="1" applyBorder="1" applyAlignment="1">
      <alignment horizontal="center" vertical="center" wrapText="1"/>
    </xf>
    <xf numFmtId="0" fontId="11" fillId="2" borderId="25" xfId="0" applyFont="1" applyFill="1" applyBorder="1" applyAlignment="1">
      <alignment horizontal="center"/>
    </xf>
    <xf numFmtId="0" fontId="11" fillId="2" borderId="37" xfId="0" applyFont="1" applyFill="1" applyBorder="1" applyAlignment="1">
      <alignment horizontal="center"/>
    </xf>
    <xf numFmtId="0" fontId="14" fillId="8" borderId="32" xfId="0" applyFont="1" applyFill="1" applyBorder="1" applyAlignment="1">
      <alignment horizontal="center"/>
    </xf>
    <xf numFmtId="0" fontId="14" fillId="8" borderId="38" xfId="0" applyFont="1" applyFill="1" applyBorder="1" applyAlignment="1">
      <alignment horizontal="center"/>
    </xf>
    <xf numFmtId="0" fontId="3" fillId="23" borderId="39" xfId="0" applyFont="1" applyFill="1" applyBorder="1" applyAlignment="1">
      <alignment horizontal="center" vertical="center" wrapText="1"/>
    </xf>
    <xf numFmtId="0" fontId="3" fillId="23" borderId="40" xfId="0" applyFont="1" applyFill="1" applyBorder="1" applyAlignment="1">
      <alignment horizontal="center" vertical="center" wrapText="1"/>
    </xf>
    <xf numFmtId="0" fontId="3" fillId="23" borderId="41" xfId="0" applyFont="1" applyFill="1" applyBorder="1" applyAlignment="1">
      <alignment horizontal="center" vertical="center" wrapText="1"/>
    </xf>
    <xf numFmtId="0" fontId="3" fillId="23" borderId="42" xfId="0" applyFont="1" applyFill="1" applyBorder="1" applyAlignment="1">
      <alignment horizontal="center" vertical="center" wrapText="1"/>
    </xf>
    <xf numFmtId="0" fontId="3" fillId="23" borderId="43" xfId="0" applyFont="1" applyFill="1" applyBorder="1" applyAlignment="1">
      <alignment horizontal="center" vertical="center" wrapText="1"/>
    </xf>
    <xf numFmtId="0" fontId="3" fillId="23" borderId="45" xfId="0" applyFont="1" applyFill="1" applyBorder="1" applyAlignment="1">
      <alignment horizontal="center" vertical="center" wrapText="1"/>
    </xf>
    <xf numFmtId="0" fontId="20" fillId="12" borderId="0" xfId="0" applyFont="1" applyFill="1" applyAlignment="1">
      <alignment horizontal="left" vertical="center" wrapText="1"/>
    </xf>
    <xf numFmtId="0" fontId="11" fillId="2" borderId="33" xfId="0" applyFont="1" applyFill="1" applyBorder="1" applyAlignment="1">
      <alignment horizontal="center"/>
    </xf>
    <xf numFmtId="0" fontId="14" fillId="8" borderId="33" xfId="0" applyFont="1" applyFill="1" applyBorder="1" applyAlignment="1">
      <alignment horizontal="center"/>
    </xf>
    <xf numFmtId="0" fontId="14" fillId="24" borderId="39" xfId="0" applyFont="1" applyFill="1" applyBorder="1"/>
    <xf numFmtId="0" fontId="14" fillId="24" borderId="34" xfId="0" applyFont="1" applyFill="1" applyBorder="1"/>
    <xf numFmtId="0" fontId="14" fillId="12" borderId="41" xfId="0" applyFont="1" applyFill="1" applyBorder="1"/>
    <xf numFmtId="0" fontId="14" fillId="12" borderId="0" xfId="0" applyFont="1" applyFill="1" applyBorder="1"/>
    <xf numFmtId="0" fontId="0" fillId="12" borderId="41" xfId="0" applyFill="1" applyBorder="1"/>
    <xf numFmtId="0" fontId="0" fillId="12" borderId="0" xfId="0" applyFill="1" applyBorder="1"/>
    <xf numFmtId="0" fontId="0" fillId="24" borderId="43" xfId="0" applyFill="1" applyBorder="1"/>
    <xf numFmtId="0" fontId="0" fillId="24" borderId="44" xfId="0" applyFill="1" applyBorder="1"/>
    <xf numFmtId="0" fontId="20" fillId="12" borderId="0" xfId="0" applyFont="1" applyFill="1" applyAlignment="1">
      <alignment vertical="center"/>
    </xf>
    <xf numFmtId="0" fontId="28" fillId="12" borderId="0" xfId="0" applyFont="1" applyFill="1"/>
    <xf numFmtId="0" fontId="14" fillId="24" borderId="40" xfId="0" applyFont="1" applyFill="1" applyBorder="1" applyAlignment="1">
      <alignment horizontal="center" vertical="center" wrapText="1"/>
    </xf>
    <xf numFmtId="0" fontId="14" fillId="24" borderId="42" xfId="0" applyFont="1" applyFill="1" applyBorder="1" applyAlignment="1">
      <alignment horizontal="center" vertical="center" wrapText="1"/>
    </xf>
    <xf numFmtId="0" fontId="14" fillId="24" borderId="45" xfId="0" applyFont="1" applyFill="1" applyBorder="1" applyAlignment="1">
      <alignment horizontal="center" vertical="center" wrapText="1"/>
    </xf>
    <xf numFmtId="0" fontId="14" fillId="12" borderId="42" xfId="0" applyFont="1" applyFill="1" applyBorder="1" applyAlignment="1">
      <alignment horizontal="center" wrapText="1"/>
    </xf>
    <xf numFmtId="0" fontId="14" fillId="12" borderId="45" xfId="0" applyFont="1" applyFill="1" applyBorder="1" applyAlignment="1">
      <alignment horizontal="center" wrapText="1"/>
    </xf>
    <xf numFmtId="0" fontId="14" fillId="2" borderId="27" xfId="0" applyFont="1" applyFill="1" applyBorder="1" applyAlignment="1">
      <alignment horizontal="center"/>
    </xf>
    <xf numFmtId="0" fontId="14" fillId="8" borderId="36" xfId="0" applyFont="1" applyFill="1" applyBorder="1" applyAlignment="1">
      <alignment horizontal="center"/>
    </xf>
    <xf numFmtId="0" fontId="14" fillId="8" borderId="31" xfId="0" applyFont="1" applyFill="1" applyBorder="1" applyAlignment="1">
      <alignment horizontal="center"/>
    </xf>
    <xf numFmtId="0" fontId="11" fillId="2" borderId="33" xfId="0" applyFont="1" applyFill="1" applyBorder="1" applyAlignment="1">
      <alignment horizontal="center" vertical="center"/>
    </xf>
    <xf numFmtId="0" fontId="14" fillId="2" borderId="26" xfId="0" applyFont="1" applyFill="1" applyBorder="1" applyAlignment="1">
      <alignment horizontal="left" vertical="center"/>
    </xf>
    <xf numFmtId="0" fontId="14" fillId="2" borderId="28" xfId="0" applyFont="1" applyFill="1" applyBorder="1" applyAlignment="1">
      <alignment horizontal="left" vertical="center"/>
    </xf>
    <xf numFmtId="0" fontId="14" fillId="2" borderId="30" xfId="0" applyFont="1" applyFill="1" applyBorder="1" applyAlignment="1">
      <alignment horizontal="left"/>
    </xf>
    <xf numFmtId="0" fontId="6" fillId="24" borderId="11" xfId="0" applyFont="1" applyFill="1" applyBorder="1" applyAlignment="1">
      <alignment horizontal="right" vertical="center"/>
    </xf>
    <xf numFmtId="0" fontId="6" fillId="24" borderId="12" xfId="0" applyFont="1" applyFill="1" applyBorder="1" applyAlignment="1">
      <alignment horizontal="right" vertical="center"/>
    </xf>
    <xf numFmtId="0" fontId="6" fillId="24" borderId="24" xfId="0" applyFont="1" applyFill="1" applyBorder="1" applyAlignment="1">
      <alignment horizontal="center" vertical="center"/>
    </xf>
    <xf numFmtId="0" fontId="6" fillId="24" borderId="15" xfId="0" applyFont="1" applyFill="1" applyBorder="1" applyAlignment="1">
      <alignment horizontal="center" vertical="center"/>
    </xf>
    <xf numFmtId="0" fontId="6" fillId="24" borderId="16" xfId="0" applyFont="1" applyFill="1" applyBorder="1" applyAlignment="1">
      <alignment horizontal="center" vertical="center"/>
    </xf>
    <xf numFmtId="0" fontId="0" fillId="4" borderId="0" xfId="0" applyFill="1"/>
    <xf numFmtId="0" fontId="2" fillId="7" borderId="32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2" fillId="7" borderId="54" xfId="0" applyFont="1" applyFill="1" applyBorder="1" applyAlignment="1">
      <alignment horizontal="center" vertical="center"/>
    </xf>
    <xf numFmtId="0" fontId="2" fillId="7" borderId="32" xfId="0" applyFont="1" applyFill="1" applyBorder="1" applyAlignment="1">
      <alignment horizontal="center"/>
    </xf>
    <xf numFmtId="0" fontId="2" fillId="7" borderId="2" xfId="0" applyFont="1" applyFill="1" applyBorder="1" applyAlignment="1">
      <alignment horizontal="center"/>
    </xf>
    <xf numFmtId="0" fontId="2" fillId="7" borderId="54" xfId="0" applyFont="1" applyFill="1" applyBorder="1" applyAlignment="1">
      <alignment horizontal="center"/>
    </xf>
    <xf numFmtId="0" fontId="2" fillId="7" borderId="25" xfId="0" applyFont="1" applyFill="1" applyBorder="1" applyAlignment="1">
      <alignment horizontal="center" vertical="center"/>
    </xf>
    <xf numFmtId="9" fontId="2" fillId="7" borderId="25" xfId="0" applyNumberFormat="1" applyFont="1" applyFill="1" applyBorder="1" applyAlignment="1">
      <alignment horizontal="center"/>
    </xf>
    <xf numFmtId="2" fontId="2" fillId="16" borderId="25" xfId="0" applyNumberFormat="1" applyFont="1" applyFill="1" applyBorder="1" applyAlignment="1">
      <alignment horizontal="center" vertical="center" wrapText="1"/>
    </xf>
    <xf numFmtId="9" fontId="2" fillId="16" borderId="25" xfId="0" applyNumberFormat="1" applyFont="1" applyFill="1" applyBorder="1" applyAlignment="1">
      <alignment horizontal="center" vertical="center" wrapText="1"/>
    </xf>
    <xf numFmtId="2" fontId="2" fillId="16" borderId="25" xfId="0" applyNumberFormat="1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2" fillId="0" borderId="0" xfId="0" applyFont="1" applyFill="1" applyAlignment="1">
      <alignment vertical="center"/>
    </xf>
    <xf numFmtId="0" fontId="2" fillId="7" borderId="25" xfId="0" applyFont="1" applyFill="1" applyBorder="1" applyAlignment="1">
      <alignment horizontal="left" vertical="center" wrapText="1"/>
    </xf>
    <xf numFmtId="0" fontId="2" fillId="7" borderId="25" xfId="0" applyFont="1" applyFill="1" applyBorder="1" applyAlignment="1">
      <alignment horizontal="center" vertical="center"/>
    </xf>
    <xf numFmtId="1" fontId="2" fillId="16" borderId="25" xfId="0" applyNumberFormat="1" applyFont="1" applyFill="1" applyBorder="1" applyAlignment="1">
      <alignment horizontal="center" vertical="center"/>
    </xf>
    <xf numFmtId="0" fontId="29" fillId="22" borderId="0" xfId="0" applyFont="1" applyFill="1" applyAlignment="1">
      <alignment horizontal="left"/>
    </xf>
    <xf numFmtId="0" fontId="2" fillId="17" borderId="1" xfId="0" applyFont="1" applyFill="1" applyBorder="1" applyAlignment="1">
      <alignment horizontal="center" vertical="center"/>
    </xf>
    <xf numFmtId="0" fontId="30" fillId="0" borderId="65" xfId="0" applyFont="1" applyBorder="1" applyAlignment="1">
      <alignment horizontal="left" vertical="top" wrapText="1"/>
    </xf>
    <xf numFmtId="0" fontId="30" fillId="0" borderId="0" xfId="0" applyFont="1" applyBorder="1" applyAlignment="1">
      <alignment horizontal="left" vertical="top" wrapText="1"/>
    </xf>
  </cellXfs>
  <cellStyles count="3">
    <cellStyle name="Normal" xfId="0" builtinId="0"/>
    <cellStyle name="Style 1" xfId="2" xr:uid="{BDA33A6D-9258-4B46-9253-329E533C6C3D}"/>
    <cellStyle name="Total" xfId="1" builtinId="25"/>
  </cellStyles>
  <dxfs count="1">
    <dxf>
      <font>
        <strike val="0"/>
        <color theme="0"/>
      </font>
    </dxf>
  </dxfs>
  <tableStyles count="0" defaultTableStyle="TableStyleMedium2" defaultPivotStyle="PivotStyleLight16"/>
  <colors>
    <mruColors>
      <color rgb="FFB9FCFF"/>
      <color rgb="FF91FAFF"/>
      <color rgb="FFFF6600"/>
      <color rgb="FFFF0000"/>
      <color rgb="FF262FE0"/>
      <color rgb="FF00ABB4"/>
      <color rgb="FF00E5F0"/>
      <color rgb="FF82FFA0"/>
      <color rgb="FF2DF5FF"/>
      <color rgb="FF69F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N$4" lockText="1" noThreeD="1"/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3" Type="http://schemas.openxmlformats.org/officeDocument/2006/relationships/image" Target="../media/image3.png"/><Relationship Id="rId7" Type="http://schemas.openxmlformats.org/officeDocument/2006/relationships/image" Target="../media/image5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330805</xdr:colOff>
      <xdr:row>0</xdr:row>
      <xdr:rowOff>127603</xdr:rowOff>
    </xdr:from>
    <xdr:to>
      <xdr:col>9</xdr:col>
      <xdr:colOff>839410</xdr:colOff>
      <xdr:row>5</xdr:row>
      <xdr:rowOff>147808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16519" y="127603"/>
          <a:ext cx="2262414" cy="2046157"/>
        </a:xfrm>
        <a:prstGeom prst="rect">
          <a:avLst/>
        </a:prstGeom>
      </xdr:spPr>
    </xdr:pic>
    <xdr:clientData/>
  </xdr:twoCellAnchor>
  <xdr:twoCellAnchor editAs="oneCell">
    <xdr:from>
      <xdr:col>10</xdr:col>
      <xdr:colOff>123976</xdr:colOff>
      <xdr:row>1</xdr:row>
      <xdr:rowOff>8590</xdr:rowOff>
    </xdr:from>
    <xdr:to>
      <xdr:col>12</xdr:col>
      <xdr:colOff>166311</xdr:colOff>
      <xdr:row>8</xdr:row>
      <xdr:rowOff>115405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640405" y="1066923"/>
          <a:ext cx="1796143" cy="1800149"/>
        </a:xfrm>
        <a:prstGeom prst="rect">
          <a:avLst/>
        </a:prstGeom>
      </xdr:spPr>
    </xdr:pic>
    <xdr:clientData/>
  </xdr:twoCellAnchor>
  <xdr:twoCellAnchor editAs="oneCell">
    <xdr:from>
      <xdr:col>10</xdr:col>
      <xdr:colOff>656552</xdr:colOff>
      <xdr:row>18</xdr:row>
      <xdr:rowOff>404718</xdr:rowOff>
    </xdr:from>
    <xdr:to>
      <xdr:col>12</xdr:col>
      <xdr:colOff>368604</xdr:colOff>
      <xdr:row>24</xdr:row>
      <xdr:rowOff>2634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4831" t="4765" r="5607" b="5531"/>
        <a:stretch/>
      </xdr:blipFill>
      <xdr:spPr>
        <a:xfrm>
          <a:off x="14203219" y="5539935"/>
          <a:ext cx="1479007" cy="1456902"/>
        </a:xfrm>
        <a:prstGeom prst="rect">
          <a:avLst/>
        </a:prstGeom>
      </xdr:spPr>
    </xdr:pic>
    <xdr:clientData/>
  </xdr:twoCellAnchor>
  <xdr:twoCellAnchor editAs="oneCell">
    <xdr:from>
      <xdr:col>7</xdr:col>
      <xdr:colOff>804695</xdr:colOff>
      <xdr:row>18</xdr:row>
      <xdr:rowOff>490060</xdr:rowOff>
    </xdr:from>
    <xdr:to>
      <xdr:col>10</xdr:col>
      <xdr:colOff>480114</xdr:colOff>
      <xdr:row>23</xdr:row>
      <xdr:rowOff>95188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00927" y="5625277"/>
          <a:ext cx="2325854" cy="1224839"/>
        </a:xfrm>
        <a:prstGeom prst="rect">
          <a:avLst/>
        </a:prstGeom>
      </xdr:spPr>
    </xdr:pic>
    <xdr:clientData/>
  </xdr:twoCellAnchor>
  <xdr:twoCellAnchor editAs="oneCell">
    <xdr:from>
      <xdr:col>9</xdr:col>
      <xdr:colOff>295403</xdr:colOff>
      <xdr:row>10</xdr:row>
      <xdr:rowOff>232658</xdr:rowOff>
    </xdr:from>
    <xdr:to>
      <xdr:col>11</xdr:col>
      <xdr:colOff>50799</xdr:colOff>
      <xdr:row>18</xdr:row>
      <xdr:rowOff>298777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r="9962"/>
        <a:stretch/>
      </xdr:blipFill>
      <xdr:spPr>
        <a:xfrm>
          <a:off x="12978470" y="3449991"/>
          <a:ext cx="1516463" cy="19965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139700</xdr:colOff>
          <xdr:row>4</xdr:row>
          <xdr:rowOff>50800</xdr:rowOff>
        </xdr:from>
        <xdr:to>
          <xdr:col>1</xdr:col>
          <xdr:colOff>635000</xdr:colOff>
          <xdr:row>5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101600</xdr:colOff>
      <xdr:row>6</xdr:row>
      <xdr:rowOff>101600</xdr:rowOff>
    </xdr:from>
    <xdr:to>
      <xdr:col>1</xdr:col>
      <xdr:colOff>660400</xdr:colOff>
      <xdr:row>8</xdr:row>
      <xdr:rowOff>127001</xdr:rowOff>
    </xdr:to>
    <xdr:sp macro="" textlink="">
      <xdr:nvSpPr>
        <xdr:cNvPr id="1034" name="CheckBox1" hidden="1">
          <a:extLst>
            <a:ext uri="{63B3BB69-23CF-44E3-9099-C40C66FF867C}">
              <a14:compatExt xmlns:a14="http://schemas.microsoft.com/office/drawing/2010/main" spid="_x0000_s1034"/>
            </a:ext>
            <a:ext uri="{FF2B5EF4-FFF2-40B4-BE49-F238E27FC236}">
              <a16:creationId xmlns:a16="http://schemas.microsoft.com/office/drawing/2014/main" id="{00000000-0008-0000-0100-00000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101600</xdr:colOff>
      <xdr:row>6</xdr:row>
      <xdr:rowOff>101600</xdr:rowOff>
    </xdr:from>
    <xdr:to>
      <xdr:col>1</xdr:col>
      <xdr:colOff>711200</xdr:colOff>
      <xdr:row>8</xdr:row>
      <xdr:rowOff>139701</xdr:rowOff>
    </xdr:to>
    <xdr:sp macro="" textlink="">
      <xdr:nvSpPr>
        <xdr:cNvPr id="1027" name="CheckBox1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25400</xdr:colOff>
          <xdr:row>6</xdr:row>
          <xdr:rowOff>88900</xdr:rowOff>
        </xdr:from>
        <xdr:to>
          <xdr:col>0</xdr:col>
          <xdr:colOff>355600</xdr:colOff>
          <xdr:row>8</xdr:row>
          <xdr:rowOff>63500</xdr:rowOff>
        </xdr:to>
        <xdr:sp macro="" textlink="">
          <xdr:nvSpPr>
            <xdr:cNvPr id="2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211673</xdr:colOff>
      <xdr:row>6</xdr:row>
      <xdr:rowOff>84667</xdr:rowOff>
    </xdr:from>
    <xdr:to>
      <xdr:col>1</xdr:col>
      <xdr:colOff>713840</xdr:colOff>
      <xdr:row>8</xdr:row>
      <xdr:rowOff>61500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11673" y="1778000"/>
          <a:ext cx="1116000" cy="25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PH" sz="1100" b="1"/>
            <a:t>Air-Conditioned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4098</xdr:colOff>
      <xdr:row>0</xdr:row>
      <xdr:rowOff>50800</xdr:rowOff>
    </xdr:from>
    <xdr:to>
      <xdr:col>24</xdr:col>
      <xdr:colOff>579831</xdr:colOff>
      <xdr:row>29</xdr:row>
      <xdr:rowOff>107335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7CA69EA-A07B-F24D-83F2-7D4FF80C36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65926" y="50800"/>
          <a:ext cx="12142292" cy="673427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333375</xdr:colOff>
      <xdr:row>4</xdr:row>
      <xdr:rowOff>14287</xdr:rowOff>
    </xdr:from>
    <xdr:ext cx="188065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7439025" y="1157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𝜎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5619F4B-6B27-4427-8FDE-36ED611875C8}"/>
                </a:ext>
              </a:extLst>
            </xdr:cNvPr>
            <xdr:cNvSpPr txBox="1"/>
          </xdr:nvSpPr>
          <xdr:spPr>
            <a:xfrm>
              <a:off x="7439025" y="1157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𝜎^2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266700</xdr:colOff>
      <xdr:row>4</xdr:row>
      <xdr:rowOff>19050</xdr:rowOff>
    </xdr:from>
    <xdr:ext cx="18473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9344025" y="1162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213E3796-4672-4A87-B8AA-F6D62DCBE0C3}"/>
                </a:ext>
              </a:extLst>
            </xdr:cNvPr>
            <xdr:cNvSpPr txBox="1"/>
          </xdr:nvSpPr>
          <xdr:spPr>
            <a:xfrm>
              <a:off x="9344025" y="1162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𝑅_0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333375</xdr:colOff>
      <xdr:row>18</xdr:row>
      <xdr:rowOff>14287</xdr:rowOff>
    </xdr:from>
    <xdr:ext cx="188065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7439025" y="1157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𝜎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1D3C1352-8385-4966-B4FC-E43689217982}"/>
                </a:ext>
              </a:extLst>
            </xdr:cNvPr>
            <xdr:cNvSpPr txBox="1"/>
          </xdr:nvSpPr>
          <xdr:spPr>
            <a:xfrm>
              <a:off x="7439025" y="1157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𝜎^2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266700</xdr:colOff>
      <xdr:row>18</xdr:row>
      <xdr:rowOff>19050</xdr:rowOff>
    </xdr:from>
    <xdr:ext cx="18473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SpPr txBox="1"/>
          </xdr:nvSpPr>
          <xdr:spPr>
            <a:xfrm>
              <a:off x="9344025" y="1162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26334B4-9289-4B3C-8EAB-84FFB7E92D99}"/>
                </a:ext>
              </a:extLst>
            </xdr:cNvPr>
            <xdr:cNvSpPr txBox="1"/>
          </xdr:nvSpPr>
          <xdr:spPr>
            <a:xfrm>
              <a:off x="9344025" y="1162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𝑅_0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333375</xdr:colOff>
      <xdr:row>32</xdr:row>
      <xdr:rowOff>14287</xdr:rowOff>
    </xdr:from>
    <xdr:ext cx="188065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SpPr txBox="1"/>
          </xdr:nvSpPr>
          <xdr:spPr>
            <a:xfrm>
              <a:off x="7439025" y="3062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𝜎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6D42D282-51BE-404B-BA73-5F0B7EC9E4DD}"/>
                </a:ext>
              </a:extLst>
            </xdr:cNvPr>
            <xdr:cNvSpPr txBox="1"/>
          </xdr:nvSpPr>
          <xdr:spPr>
            <a:xfrm>
              <a:off x="7439025" y="3062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𝜎^2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266700</xdr:colOff>
      <xdr:row>32</xdr:row>
      <xdr:rowOff>19050</xdr:rowOff>
    </xdr:from>
    <xdr:ext cx="18473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SpPr txBox="1"/>
          </xdr:nvSpPr>
          <xdr:spPr>
            <a:xfrm>
              <a:off x="9344025" y="3067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C419B22C-6CDF-4CC4-A12C-E37C0017D722}"/>
                </a:ext>
              </a:extLst>
            </xdr:cNvPr>
            <xdr:cNvSpPr txBox="1"/>
          </xdr:nvSpPr>
          <xdr:spPr>
            <a:xfrm>
              <a:off x="9344025" y="3067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𝑅_0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333375</xdr:colOff>
      <xdr:row>46</xdr:row>
      <xdr:rowOff>14287</xdr:rowOff>
    </xdr:from>
    <xdr:ext cx="188065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:cNvPr>
            <xdr:cNvSpPr txBox="1"/>
          </xdr:nvSpPr>
          <xdr:spPr>
            <a:xfrm>
              <a:off x="7439025" y="4967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𝜎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A1613BD4-C21F-424B-BFD4-C39BA0330C92}"/>
                </a:ext>
              </a:extLst>
            </xdr:cNvPr>
            <xdr:cNvSpPr txBox="1"/>
          </xdr:nvSpPr>
          <xdr:spPr>
            <a:xfrm>
              <a:off x="7439025" y="4967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𝜎^2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266700</xdr:colOff>
      <xdr:row>46</xdr:row>
      <xdr:rowOff>19050</xdr:rowOff>
    </xdr:from>
    <xdr:ext cx="18473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300-00000C000000}"/>
                </a:ext>
              </a:extLst>
            </xdr:cNvPr>
            <xdr:cNvSpPr txBox="1"/>
          </xdr:nvSpPr>
          <xdr:spPr>
            <a:xfrm>
              <a:off x="9344025" y="4972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F8871DF3-728E-4032-BF01-7D110E3F4626}"/>
                </a:ext>
              </a:extLst>
            </xdr:cNvPr>
            <xdr:cNvSpPr txBox="1"/>
          </xdr:nvSpPr>
          <xdr:spPr>
            <a:xfrm>
              <a:off x="9344025" y="4972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𝑅_0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333375</xdr:colOff>
      <xdr:row>60</xdr:row>
      <xdr:rowOff>14287</xdr:rowOff>
    </xdr:from>
    <xdr:ext cx="188065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7439025" y="6872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𝜎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2CA7145D-CC28-4281-B467-693EF52CBBA3}"/>
                </a:ext>
              </a:extLst>
            </xdr:cNvPr>
            <xdr:cNvSpPr txBox="1"/>
          </xdr:nvSpPr>
          <xdr:spPr>
            <a:xfrm>
              <a:off x="7439025" y="6872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𝜎^2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266700</xdr:colOff>
      <xdr:row>60</xdr:row>
      <xdr:rowOff>19050</xdr:rowOff>
    </xdr:from>
    <xdr:ext cx="18473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9344025" y="6877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845EBA7-0CEF-4E6D-BCA6-E3235E117386}"/>
                </a:ext>
              </a:extLst>
            </xdr:cNvPr>
            <xdr:cNvSpPr txBox="1"/>
          </xdr:nvSpPr>
          <xdr:spPr>
            <a:xfrm>
              <a:off x="9344025" y="6877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𝑅_0</a:t>
              </a:r>
              <a:endParaRPr lang="en-US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AA3F4-1FF0-6346-8077-88ED2915D1BB}">
  <sheetPr codeName="Sheet2"/>
  <dimension ref="A1:AE62"/>
  <sheetViews>
    <sheetView showGridLines="0" zoomScale="109" workbookViewId="0">
      <selection activeCell="D43" sqref="D43"/>
    </sheetView>
  </sheetViews>
  <sheetFormatPr baseColWidth="10" defaultColWidth="11.5" defaultRowHeight="15"/>
  <cols>
    <col min="1" max="1" width="34.1640625" customWidth="1"/>
    <col min="2" max="2" width="12.33203125" customWidth="1"/>
    <col min="4" max="4" width="27.83203125" customWidth="1"/>
    <col min="5" max="5" width="7.1640625" customWidth="1"/>
    <col min="6" max="6" width="39" customWidth="1"/>
    <col min="7" max="7" width="18.1640625" customWidth="1"/>
  </cols>
  <sheetData>
    <row r="1" spans="1:31" ht="83" customHeight="1" thickBot="1">
      <c r="A1" s="67" t="s">
        <v>84</v>
      </c>
      <c r="B1" s="68"/>
      <c r="C1" s="68"/>
      <c r="D1" s="68"/>
      <c r="E1" s="68"/>
      <c r="F1" s="68"/>
      <c r="G1" s="68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</row>
    <row r="2" spans="1:31" ht="19">
      <c r="A2" s="170" t="s">
        <v>24</v>
      </c>
      <c r="B2" s="171" t="s">
        <v>25</v>
      </c>
      <c r="C2" s="171"/>
      <c r="D2" s="171"/>
      <c r="E2" s="171"/>
      <c r="F2" s="171"/>
      <c r="G2" s="172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</row>
    <row r="3" spans="1:31" ht="19">
      <c r="A3" s="173" t="s">
        <v>75</v>
      </c>
      <c r="B3" s="174" t="s">
        <v>31</v>
      </c>
      <c r="C3" s="174"/>
      <c r="D3" s="174"/>
      <c r="E3" s="174"/>
      <c r="F3" s="174"/>
      <c r="G3" s="175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</row>
    <row r="4" spans="1:31" ht="19">
      <c r="A4" s="173" t="s">
        <v>76</v>
      </c>
      <c r="B4" s="174" t="s">
        <v>96</v>
      </c>
      <c r="C4" s="174"/>
      <c r="D4" s="174"/>
      <c r="E4" s="174"/>
      <c r="F4" s="174"/>
      <c r="G4" s="175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</row>
    <row r="5" spans="1:31" ht="19">
      <c r="A5" s="173" t="s">
        <v>26</v>
      </c>
      <c r="B5" s="174" t="s">
        <v>77</v>
      </c>
      <c r="C5" s="174"/>
      <c r="D5" s="174"/>
      <c r="E5" s="174"/>
      <c r="F5" s="174"/>
      <c r="G5" s="175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</row>
    <row r="6" spans="1:31" ht="19">
      <c r="A6" s="173" t="s">
        <v>81</v>
      </c>
      <c r="B6" s="174" t="s">
        <v>114</v>
      </c>
      <c r="C6" s="174"/>
      <c r="D6" s="174"/>
      <c r="E6" s="174"/>
      <c r="F6" s="174"/>
      <c r="G6" s="175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</row>
    <row r="7" spans="1:31" ht="19">
      <c r="A7" s="173" t="s">
        <v>29</v>
      </c>
      <c r="B7" s="174" t="s">
        <v>97</v>
      </c>
      <c r="C7" s="174"/>
      <c r="D7" s="174"/>
      <c r="E7" s="174"/>
      <c r="F7" s="174"/>
      <c r="G7" s="175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</row>
    <row r="8" spans="1:31" ht="19">
      <c r="A8" s="173" t="s">
        <v>30</v>
      </c>
      <c r="B8" s="174" t="s">
        <v>98</v>
      </c>
      <c r="C8" s="174"/>
      <c r="D8" s="174"/>
      <c r="E8" s="174"/>
      <c r="F8" s="174"/>
      <c r="G8" s="175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</row>
    <row r="9" spans="1:31" ht="20" thickBot="1">
      <c r="A9" s="176" t="s">
        <v>89</v>
      </c>
      <c r="B9" s="177" t="s">
        <v>78</v>
      </c>
      <c r="C9" s="177"/>
      <c r="D9" s="177"/>
      <c r="E9" s="177"/>
      <c r="F9" s="177"/>
      <c r="G9" s="178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</row>
    <row r="10" spans="1:31" ht="20" thickBot="1">
      <c r="A10" s="51"/>
      <c r="B10" s="51"/>
      <c r="C10" s="51"/>
      <c r="D10" s="51"/>
      <c r="E10" s="51"/>
      <c r="F10" s="51"/>
      <c r="G10" s="51"/>
      <c r="H10" s="36"/>
      <c r="I10" s="51" t="s">
        <v>74</v>
      </c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</row>
    <row r="11" spans="1:31" ht="19">
      <c r="A11" s="161" t="s">
        <v>27</v>
      </c>
      <c r="B11" s="162"/>
      <c r="C11" s="162"/>
      <c r="D11" s="162"/>
      <c r="E11" s="162"/>
      <c r="F11" s="162"/>
      <c r="G11" s="163"/>
      <c r="H11" s="36"/>
      <c r="I11" s="51" t="s">
        <v>82</v>
      </c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</row>
    <row r="12" spans="1:31" ht="19">
      <c r="A12" s="164" t="s">
        <v>28</v>
      </c>
      <c r="B12" s="165" t="s">
        <v>79</v>
      </c>
      <c r="C12" s="165"/>
      <c r="D12" s="165"/>
      <c r="E12" s="165"/>
      <c r="F12" s="165"/>
      <c r="G12" s="16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</row>
    <row r="13" spans="1:31" ht="20" thickBot="1">
      <c r="A13" s="167" t="s">
        <v>54</v>
      </c>
      <c r="B13" s="168" t="s">
        <v>80</v>
      </c>
      <c r="C13" s="168"/>
      <c r="D13" s="168"/>
      <c r="E13" s="168"/>
      <c r="F13" s="168"/>
      <c r="G13" s="169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</row>
    <row r="14" spans="1:31" ht="20" thickBot="1">
      <c r="A14" s="51"/>
      <c r="B14" s="51"/>
      <c r="C14" s="51"/>
      <c r="D14" s="51"/>
      <c r="E14" s="51"/>
      <c r="F14" s="51"/>
      <c r="G14" s="51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</row>
    <row r="15" spans="1:31" s="37" customFormat="1" ht="18" customHeight="1">
      <c r="A15" s="39" t="s">
        <v>55</v>
      </c>
      <c r="B15" s="143">
        <v>100</v>
      </c>
      <c r="C15" s="70" t="s">
        <v>115</v>
      </c>
      <c r="D15" s="71"/>
      <c r="E15" s="72"/>
      <c r="F15" s="214" t="s">
        <v>29</v>
      </c>
      <c r="G15" s="146">
        <v>60</v>
      </c>
      <c r="H15" s="52"/>
      <c r="I15" s="51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</row>
    <row r="16" spans="1:31" s="37" customFormat="1" ht="18" customHeight="1">
      <c r="A16" s="73" t="s">
        <v>56</v>
      </c>
      <c r="B16" s="144">
        <v>6</v>
      </c>
      <c r="C16" s="149" t="s">
        <v>48</v>
      </c>
      <c r="D16" s="150"/>
      <c r="E16" s="75">
        <f>VLOOKUP(C16,'Nature of Work'!A2:B21,2,FALSE)</f>
        <v>0.73930818181818236</v>
      </c>
      <c r="F16" s="215" t="s">
        <v>89</v>
      </c>
      <c r="G16" s="147">
        <v>20</v>
      </c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</row>
    <row r="17" spans="1:31" s="37" customFormat="1" ht="18" customHeight="1" thickBot="1">
      <c r="A17" s="74"/>
      <c r="B17" s="145"/>
      <c r="C17" s="151"/>
      <c r="D17" s="152"/>
      <c r="E17" s="76"/>
      <c r="F17" s="216" t="s">
        <v>30</v>
      </c>
      <c r="G17" s="148">
        <v>20</v>
      </c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</row>
    <row r="18" spans="1:31" ht="19">
      <c r="A18" s="51"/>
      <c r="B18" s="51"/>
      <c r="C18" s="51"/>
      <c r="D18" s="51"/>
      <c r="E18" s="51"/>
      <c r="F18" s="69" t="str">
        <f>IF(SUM(G15:G17)=B15,"","Not Equal to the Total Employees")</f>
        <v/>
      </c>
      <c r="G18" s="69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</row>
    <row r="19" spans="1:31" ht="52" customHeight="1">
      <c r="A19" s="213" t="s">
        <v>57</v>
      </c>
      <c r="B19" s="181" t="s">
        <v>59</v>
      </c>
      <c r="C19" s="181" t="s">
        <v>58</v>
      </c>
      <c r="D19" s="181" t="s">
        <v>60</v>
      </c>
      <c r="E19" s="38"/>
      <c r="F19" s="179" t="s">
        <v>73</v>
      </c>
      <c r="G19" s="180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</row>
    <row r="20" spans="1:31" ht="19">
      <c r="A20" s="182">
        <f>IF(1&lt;=B16,1,"")</f>
        <v>1</v>
      </c>
      <c r="B20" s="141">
        <v>100</v>
      </c>
      <c r="C20" s="142">
        <v>55</v>
      </c>
      <c r="D20" s="141">
        <v>10</v>
      </c>
      <c r="E20" s="51"/>
      <c r="F20" s="51"/>
      <c r="G20" s="51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</row>
    <row r="21" spans="1:31" ht="19">
      <c r="A21" s="182">
        <f>IF(2&lt;=$B$16,2,"")</f>
        <v>2</v>
      </c>
      <c r="B21" s="141">
        <v>65</v>
      </c>
      <c r="C21" s="142">
        <v>15</v>
      </c>
      <c r="D21" s="141">
        <v>7</v>
      </c>
      <c r="E21" s="51"/>
      <c r="F21" s="203"/>
      <c r="G21" s="203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</row>
    <row r="22" spans="1:31" ht="19">
      <c r="A22" s="182">
        <f>IF(3&lt;=$B$16,3,"")</f>
        <v>3</v>
      </c>
      <c r="B22" s="141">
        <v>65</v>
      </c>
      <c r="C22" s="142">
        <v>20</v>
      </c>
      <c r="D22" s="141">
        <v>40</v>
      </c>
      <c r="E22" s="51"/>
      <c r="F22" s="203"/>
      <c r="G22" s="203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</row>
    <row r="23" spans="1:31" ht="19">
      <c r="A23" s="182">
        <f>IF(4&lt;=$B$16,4,"")</f>
        <v>4</v>
      </c>
      <c r="B23" s="141">
        <v>50</v>
      </c>
      <c r="C23" s="142">
        <v>10</v>
      </c>
      <c r="D23" s="141">
        <v>4</v>
      </c>
      <c r="E23" s="51"/>
      <c r="F23" s="203"/>
      <c r="G23" s="203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</row>
    <row r="24" spans="1:31" ht="19">
      <c r="A24" s="182">
        <f>IF(5&lt;=$B$16,5,"")</f>
        <v>5</v>
      </c>
      <c r="B24" s="141">
        <v>50</v>
      </c>
      <c r="C24" s="141">
        <v>20</v>
      </c>
      <c r="D24" s="141">
        <v>5</v>
      </c>
      <c r="E24" s="51"/>
      <c r="F24" s="203"/>
      <c r="G24" s="203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</row>
    <row r="25" spans="1:31" ht="19">
      <c r="A25" s="182">
        <f>IF(6&lt;=$B$16,6,"")</f>
        <v>6</v>
      </c>
      <c r="B25" s="141">
        <v>100</v>
      </c>
      <c r="C25" s="141">
        <v>50</v>
      </c>
      <c r="D25" s="141">
        <v>15</v>
      </c>
      <c r="E25" s="51"/>
      <c r="F25" s="203"/>
      <c r="G25" s="203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</row>
    <row r="26" spans="1:31" ht="19">
      <c r="A26" s="182" t="str">
        <f>IF(7&lt;=$B$16,7,"")</f>
        <v/>
      </c>
      <c r="B26" s="141"/>
      <c r="C26" s="141"/>
      <c r="D26" s="141"/>
      <c r="E26" s="51"/>
      <c r="F26" s="203"/>
      <c r="G26" s="203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</row>
    <row r="27" spans="1:31" ht="19">
      <c r="A27" s="182" t="str">
        <f>IF(8&lt;=$B$16,8,"")</f>
        <v/>
      </c>
      <c r="B27" s="141"/>
      <c r="C27" s="141"/>
      <c r="D27" s="141"/>
      <c r="E27" s="51"/>
      <c r="F27" s="203"/>
      <c r="G27" s="203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</row>
    <row r="28" spans="1:31" ht="24">
      <c r="A28" s="182" t="str">
        <f>IF(9&lt;=$B$16,9,"")</f>
        <v/>
      </c>
      <c r="B28" s="141"/>
      <c r="C28" s="141"/>
      <c r="D28" s="141"/>
      <c r="E28" s="51"/>
      <c r="F28" s="203"/>
      <c r="G28" s="203"/>
      <c r="H28" s="36"/>
      <c r="I28" s="204" t="s">
        <v>85</v>
      </c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</row>
    <row r="29" spans="1:31" ht="20" thickBot="1">
      <c r="A29" s="193" t="str">
        <f>IF(10&lt;=$B$16,10,"")</f>
        <v/>
      </c>
      <c r="B29" s="194"/>
      <c r="C29" s="194"/>
      <c r="D29" s="194"/>
      <c r="E29" s="51"/>
      <c r="F29" s="203"/>
      <c r="G29" s="203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</row>
    <row r="30" spans="1:31" ht="20" thickBot="1">
      <c r="A30" s="195"/>
      <c r="B30" s="196"/>
      <c r="C30" s="196"/>
      <c r="D30" s="196"/>
      <c r="E30" s="196"/>
      <c r="F30" s="196"/>
      <c r="G30" s="205" t="s">
        <v>118</v>
      </c>
      <c r="H30" s="36"/>
      <c r="I30" s="192" t="s">
        <v>83</v>
      </c>
      <c r="J30" s="192"/>
      <c r="K30" s="192"/>
      <c r="L30" s="192"/>
      <c r="M30" s="192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</row>
    <row r="31" spans="1:31" ht="19">
      <c r="A31" s="154" t="s">
        <v>116</v>
      </c>
      <c r="B31" s="59" t="s">
        <v>105</v>
      </c>
      <c r="C31" s="210" t="s">
        <v>106</v>
      </c>
      <c r="D31" s="208"/>
      <c r="E31" s="186" t="s">
        <v>117</v>
      </c>
      <c r="F31" s="187"/>
      <c r="G31" s="206"/>
      <c r="H31" s="36"/>
      <c r="I31" s="192"/>
      <c r="J31" s="192"/>
      <c r="K31" s="192"/>
      <c r="L31" s="192"/>
      <c r="M31" s="192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</row>
    <row r="32" spans="1:31" ht="20" thickBot="1">
      <c r="A32" s="155"/>
      <c r="B32" s="211">
        <v>1</v>
      </c>
      <c r="C32" s="212">
        <v>10</v>
      </c>
      <c r="D32" s="208"/>
      <c r="E32" s="188"/>
      <c r="F32" s="189"/>
      <c r="G32" s="206"/>
      <c r="H32" s="36"/>
      <c r="I32" s="192"/>
      <c r="J32" s="192"/>
      <c r="K32" s="192"/>
      <c r="L32" s="192"/>
      <c r="M32" s="192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</row>
    <row r="33" spans="1:31" ht="19">
      <c r="A33" s="197" t="s">
        <v>119</v>
      </c>
      <c r="B33" s="198"/>
      <c r="C33" s="198"/>
      <c r="D33" s="208"/>
      <c r="E33" s="188"/>
      <c r="F33" s="189"/>
      <c r="G33" s="20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</row>
    <row r="34" spans="1:31" ht="16" thickBot="1">
      <c r="A34" s="199"/>
      <c r="B34" s="200"/>
      <c r="C34" s="200"/>
      <c r="D34" s="209"/>
      <c r="E34" s="188"/>
      <c r="F34" s="189"/>
      <c r="G34" s="20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</row>
    <row r="35" spans="1:31" ht="19">
      <c r="A35" s="158" t="s">
        <v>107</v>
      </c>
      <c r="B35" s="159" t="s">
        <v>113</v>
      </c>
      <c r="C35" s="159"/>
      <c r="D35" s="183"/>
      <c r="E35" s="188"/>
      <c r="F35" s="189"/>
      <c r="G35" s="20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</row>
    <row r="36" spans="1:31" ht="19">
      <c r="A36" s="160" t="s">
        <v>111</v>
      </c>
      <c r="B36" s="156">
        <v>0.8</v>
      </c>
      <c r="C36" s="156"/>
      <c r="D36" s="184"/>
      <c r="E36" s="188"/>
      <c r="F36" s="189"/>
      <c r="G36" s="20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</row>
    <row r="37" spans="1:31" ht="19">
      <c r="A37" s="160" t="s">
        <v>110</v>
      </c>
      <c r="B37" s="156">
        <v>0.95</v>
      </c>
      <c r="C37" s="156"/>
      <c r="D37" s="184"/>
      <c r="E37" s="188"/>
      <c r="F37" s="189"/>
      <c r="G37" s="20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</row>
    <row r="38" spans="1:31" ht="20" thickBot="1">
      <c r="A38" s="40" t="s">
        <v>112</v>
      </c>
      <c r="B38" s="157">
        <v>0.5</v>
      </c>
      <c r="C38" s="157"/>
      <c r="D38" s="185"/>
      <c r="E38" s="190"/>
      <c r="F38" s="191"/>
      <c r="G38" s="20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</row>
    <row r="39" spans="1:31" ht="16" thickBot="1">
      <c r="A39" s="201"/>
      <c r="B39" s="202"/>
      <c r="C39" s="202"/>
      <c r="D39" s="202"/>
      <c r="E39" s="202"/>
      <c r="F39" s="202"/>
      <c r="G39" s="207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</row>
    <row r="40" spans="1:31">
      <c r="A40" s="36"/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</row>
    <row r="41" spans="1:31">
      <c r="A41" s="36"/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</row>
    <row r="42" spans="1:31">
      <c r="A42" s="36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</row>
    <row r="43" spans="1:31">
      <c r="A43" s="36"/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</row>
    <row r="44" spans="1:31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</row>
    <row r="45" spans="1:31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</row>
    <row r="46" spans="1:31">
      <c r="A46" s="36"/>
      <c r="B46" s="36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</row>
    <row r="47" spans="1:31">
      <c r="A47" s="36"/>
      <c r="B47" s="36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</row>
    <row r="48" spans="1:3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</row>
    <row r="49" spans="1:31">
      <c r="A49" s="36"/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</row>
    <row r="50" spans="1:3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</row>
    <row r="51" spans="1:3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</row>
    <row r="52" spans="1:3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</row>
    <row r="53" spans="1:31">
      <c r="A53" s="36"/>
      <c r="B53" s="36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</row>
    <row r="54" spans="1:31">
      <c r="A54" s="36"/>
      <c r="B54" s="36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</row>
    <row r="55" spans="1:31">
      <c r="A55" s="36"/>
      <c r="B55" s="36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</row>
    <row r="56" spans="1:31">
      <c r="A56" s="36"/>
      <c r="B56" s="36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</row>
    <row r="57" spans="1:31">
      <c r="A57" s="36"/>
      <c r="B57" s="36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</row>
    <row r="58" spans="1:31">
      <c r="A58" s="36"/>
      <c r="B58" s="36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</row>
    <row r="59" spans="1:31">
      <c r="A59" s="36"/>
      <c r="B59" s="36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</row>
    <row r="60" spans="1:31">
      <c r="A60" s="36"/>
      <c r="B60" s="36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</row>
    <row r="61" spans="1:31">
      <c r="A61" s="36"/>
      <c r="B61" s="36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</row>
    <row r="62" spans="1:31"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</row>
  </sheetData>
  <mergeCells count="27">
    <mergeCell ref="I30:M32"/>
    <mergeCell ref="G30:G39"/>
    <mergeCell ref="D31:D34"/>
    <mergeCell ref="B36:D36"/>
    <mergeCell ref="B37:D37"/>
    <mergeCell ref="B38:D38"/>
    <mergeCell ref="E31:F38"/>
    <mergeCell ref="B4:G4"/>
    <mergeCell ref="B5:G5"/>
    <mergeCell ref="B6:G6"/>
    <mergeCell ref="A31:A32"/>
    <mergeCell ref="B35:D35"/>
    <mergeCell ref="B7:G7"/>
    <mergeCell ref="F19:G19"/>
    <mergeCell ref="A1:G1"/>
    <mergeCell ref="F18:G18"/>
    <mergeCell ref="B12:G12"/>
    <mergeCell ref="B13:G13"/>
    <mergeCell ref="B8:G8"/>
    <mergeCell ref="B9:G9"/>
    <mergeCell ref="C15:E15"/>
    <mergeCell ref="A16:A17"/>
    <mergeCell ref="B16:B17"/>
    <mergeCell ref="C16:D17"/>
    <mergeCell ref="E16:E17"/>
    <mergeCell ref="B2:G2"/>
    <mergeCell ref="B3:G3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02C034B-0C19-9244-99A7-B4264365C73E}">
          <x14:formula1>
            <xm:f>'Nature of Work'!$A$2:$A$21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8AD77-9BEE-4D6F-B387-E7CBE3AF25C8}">
  <sheetPr codeName="Sheet1"/>
  <dimension ref="A1:W39"/>
  <sheetViews>
    <sheetView showGridLines="0" showRowColHeaders="0" zoomScale="125" zoomScaleNormal="125" workbookViewId="0">
      <selection activeCell="B34" sqref="B34"/>
    </sheetView>
  </sheetViews>
  <sheetFormatPr baseColWidth="10" defaultColWidth="9.1640625" defaultRowHeight="15"/>
  <cols>
    <col min="1" max="1" width="9.1640625" style="1"/>
    <col min="2" max="2" width="11" style="1" customWidth="1"/>
    <col min="3" max="3" width="10.5" style="1" customWidth="1"/>
    <col min="4" max="4" width="11" style="1" bestFit="1" customWidth="1"/>
    <col min="5" max="6" width="11.6640625" style="1" customWidth="1"/>
    <col min="7" max="9" width="12.33203125" style="1" customWidth="1"/>
    <col min="10" max="10" width="11.6640625" style="1" customWidth="1"/>
    <col min="11" max="11" width="6.6640625" style="1" hidden="1" customWidth="1"/>
    <col min="12" max="12" width="18" style="1" customWidth="1"/>
    <col min="13" max="13" width="3.6640625" style="1" customWidth="1"/>
    <col min="14" max="16" width="11.6640625" style="1" customWidth="1"/>
    <col min="17" max="16384" width="9.1640625" style="1"/>
  </cols>
  <sheetData>
    <row r="1" spans="1:23" ht="16" thickBot="1">
      <c r="A1" s="153" t="s">
        <v>92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</row>
    <row r="2" spans="1:23" ht="35" customHeight="1" thickTop="1" thickBot="1">
      <c r="A2" s="126" t="s">
        <v>0</v>
      </c>
      <c r="B2" s="126"/>
      <c r="C2" s="127" t="s">
        <v>104</v>
      </c>
      <c r="D2" s="127"/>
      <c r="E2" s="127"/>
      <c r="F2" s="127"/>
      <c r="G2" s="131" t="s">
        <v>107</v>
      </c>
      <c r="H2" s="131"/>
      <c r="I2" s="131"/>
      <c r="J2" s="121" t="s">
        <v>108</v>
      </c>
      <c r="K2" s="121"/>
      <c r="L2" s="121"/>
      <c r="M2" s="26"/>
      <c r="N2" s="60" t="s">
        <v>19</v>
      </c>
      <c r="O2" s="26"/>
      <c r="P2" s="26"/>
      <c r="Q2" s="26"/>
      <c r="R2" s="26"/>
      <c r="S2" s="26"/>
      <c r="T2" s="26"/>
      <c r="U2" s="26"/>
      <c r="V2" s="26"/>
      <c r="W2" s="26"/>
    </row>
    <row r="3" spans="1:23" ht="34" thickTop="1" thickBot="1">
      <c r="A3" s="126"/>
      <c r="B3" s="126"/>
      <c r="C3" s="65" t="s">
        <v>1</v>
      </c>
      <c r="D3" s="65" t="s">
        <v>22</v>
      </c>
      <c r="E3" s="65" t="s">
        <v>88</v>
      </c>
      <c r="F3" s="65" t="s">
        <v>23</v>
      </c>
      <c r="G3" s="132" t="s">
        <v>5</v>
      </c>
      <c r="H3" s="133"/>
      <c r="I3" s="61" t="s">
        <v>7</v>
      </c>
      <c r="J3" s="79" t="s">
        <v>101</v>
      </c>
      <c r="K3" s="80" t="s">
        <v>6</v>
      </c>
      <c r="L3" s="63" t="s">
        <v>16</v>
      </c>
      <c r="M3" s="26"/>
      <c r="N3" s="27">
        <v>10</v>
      </c>
      <c r="O3" s="26"/>
      <c r="P3" s="26"/>
      <c r="Q3" s="26"/>
      <c r="R3" s="26"/>
      <c r="S3" s="26"/>
      <c r="T3" s="26"/>
      <c r="U3" s="26"/>
      <c r="V3" s="26"/>
      <c r="W3" s="26"/>
    </row>
    <row r="4" spans="1:23" ht="17" thickTop="1" thickBot="1">
      <c r="A4" s="126"/>
      <c r="B4" s="126"/>
      <c r="C4" s="66">
        <f>SUM(D4:F4)</f>
        <v>100</v>
      </c>
      <c r="D4" s="66">
        <f>Input!G15</f>
        <v>60</v>
      </c>
      <c r="E4" s="66">
        <f>Input!G16</f>
        <v>20</v>
      </c>
      <c r="F4" s="66">
        <f>Input!G17</f>
        <v>20</v>
      </c>
      <c r="G4" s="129" t="s">
        <v>2</v>
      </c>
      <c r="H4" s="130"/>
      <c r="I4" s="64">
        <f>Input!B36</f>
        <v>0.8</v>
      </c>
      <c r="J4" s="77">
        <f>Input!B32</f>
        <v>1</v>
      </c>
      <c r="K4" s="78">
        <f>IF(N4=TRUE,1.01066025239372,1.79070829973161)</f>
        <v>1.01066025239372</v>
      </c>
      <c r="L4" s="62">
        <f>Input!C32</f>
        <v>10</v>
      </c>
      <c r="M4" s="26"/>
      <c r="N4" s="57" t="b">
        <v>1</v>
      </c>
      <c r="O4" s="26"/>
      <c r="P4" s="26"/>
      <c r="Q4" s="26"/>
      <c r="R4" s="26"/>
      <c r="S4" s="26"/>
      <c r="T4" s="26"/>
      <c r="U4" s="26"/>
      <c r="V4" s="26"/>
      <c r="W4" s="26"/>
    </row>
    <row r="5" spans="1:23" ht="15.75" customHeight="1" thickTop="1" thickBot="1">
      <c r="A5" s="137"/>
      <c r="B5" s="137"/>
      <c r="C5" s="112" t="s">
        <v>103</v>
      </c>
      <c r="D5" s="112"/>
      <c r="E5" s="112"/>
      <c r="F5" s="112"/>
      <c r="G5" s="129" t="s">
        <v>3</v>
      </c>
      <c r="H5" s="130"/>
      <c r="I5" s="64">
        <f>Input!B37</f>
        <v>0.95</v>
      </c>
      <c r="J5" s="119" t="s">
        <v>102</v>
      </c>
      <c r="K5" s="119"/>
      <c r="L5" s="119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</row>
    <row r="6" spans="1:23" ht="19" customHeight="1" thickTop="1" thickBot="1">
      <c r="A6" s="137"/>
      <c r="B6" s="137"/>
      <c r="C6" s="112"/>
      <c r="D6" s="112"/>
      <c r="E6" s="112"/>
      <c r="F6" s="112"/>
      <c r="G6" s="129" t="s">
        <v>4</v>
      </c>
      <c r="H6" s="130"/>
      <c r="I6" s="64">
        <f>Input!B38</f>
        <v>0.5</v>
      </c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</row>
    <row r="7" spans="1:23" ht="10.5" customHeight="1" thickTop="1" thickBot="1">
      <c r="A7" s="122" t="b">
        <v>1</v>
      </c>
      <c r="B7" s="122"/>
      <c r="C7" s="112"/>
      <c r="D7" s="112"/>
      <c r="E7" s="112"/>
      <c r="F7" s="112"/>
      <c r="G7" s="128" t="s">
        <v>8</v>
      </c>
      <c r="H7" s="128"/>
      <c r="I7" s="128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</row>
    <row r="8" spans="1:23" ht="10.5" customHeight="1" thickTop="1" thickBot="1">
      <c r="A8" s="122"/>
      <c r="B8" s="122"/>
      <c r="C8" s="112"/>
      <c r="D8" s="112"/>
      <c r="E8" s="112"/>
      <c r="F8" s="112"/>
      <c r="G8" s="128"/>
      <c r="H8" s="128"/>
      <c r="I8" s="128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</row>
    <row r="9" spans="1:23" ht="19" customHeight="1" thickTop="1" thickBot="1">
      <c r="A9" s="122"/>
      <c r="B9" s="122"/>
      <c r="C9" s="112"/>
      <c r="D9" s="112"/>
      <c r="E9" s="112"/>
      <c r="F9" s="112"/>
      <c r="G9" s="29"/>
      <c r="H9" s="29"/>
      <c r="I9" s="29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</row>
    <row r="10" spans="1:23" ht="8" customHeight="1" thickTop="1">
      <c r="A10" s="56"/>
      <c r="B10" s="24"/>
      <c r="C10" s="26"/>
      <c r="D10" s="26"/>
      <c r="E10" s="26"/>
      <c r="F10" s="26"/>
      <c r="G10" s="29"/>
      <c r="H10" s="29"/>
      <c r="I10" s="29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</row>
    <row r="11" spans="1:23" ht="6" customHeight="1" thickBot="1">
      <c r="A11" s="24"/>
      <c r="B11" s="24"/>
      <c r="C11" s="26"/>
      <c r="D11" s="26"/>
      <c r="E11" s="26"/>
      <c r="F11" s="26"/>
      <c r="G11" s="29"/>
      <c r="H11" s="29"/>
      <c r="I11" s="29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</row>
    <row r="12" spans="1:23" ht="27" thickBot="1">
      <c r="A12" s="24"/>
      <c r="B12" s="123" t="s">
        <v>91</v>
      </c>
      <c r="C12" s="124"/>
      <c r="D12" s="124"/>
      <c r="E12" s="124"/>
      <c r="F12" s="124"/>
      <c r="G12" s="124"/>
      <c r="H12" s="124"/>
      <c r="I12" s="124"/>
      <c r="J12" s="125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</row>
    <row r="13" spans="1:23" ht="13" customHeight="1" thickBot="1">
      <c r="A13" s="25"/>
      <c r="B13" s="4"/>
      <c r="C13" s="5"/>
      <c r="D13" s="6"/>
      <c r="E13" s="113" t="s">
        <v>21</v>
      </c>
      <c r="F13" s="114"/>
      <c r="G13" s="114"/>
      <c r="H13" s="114"/>
      <c r="I13" s="114"/>
      <c r="J13" s="115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</row>
    <row r="14" spans="1:23" ht="13" customHeight="1" thickBot="1">
      <c r="A14" s="26"/>
      <c r="B14" s="7"/>
      <c r="C14" s="8"/>
      <c r="D14" s="9"/>
      <c r="E14" s="10" t="s">
        <v>9</v>
      </c>
      <c r="F14" s="11" t="s">
        <v>10</v>
      </c>
      <c r="G14" s="12" t="s">
        <v>11</v>
      </c>
      <c r="H14" s="13" t="s">
        <v>12</v>
      </c>
      <c r="I14" s="14" t="s">
        <v>13</v>
      </c>
      <c r="J14" s="15" t="s">
        <v>14</v>
      </c>
      <c r="K14" s="28"/>
      <c r="L14" s="28"/>
      <c r="M14" s="28"/>
      <c r="N14" s="28"/>
      <c r="O14" s="28"/>
      <c r="P14" s="28"/>
      <c r="Q14" s="26"/>
      <c r="R14" s="26"/>
      <c r="S14" s="26"/>
      <c r="T14" s="26"/>
      <c r="U14" s="26"/>
      <c r="V14" s="26"/>
      <c r="W14" s="26"/>
    </row>
    <row r="15" spans="1:23" ht="16" hidden="1" thickBot="1">
      <c r="A15" s="26"/>
      <c r="B15" s="138" t="s">
        <v>86</v>
      </c>
      <c r="C15" s="139"/>
      <c r="D15" s="140"/>
      <c r="E15" s="16">
        <v>7.2292022682066581E-2</v>
      </c>
      <c r="F15" s="17">
        <v>0.23350426571642399</v>
      </c>
      <c r="G15" s="17">
        <v>0.38392948040899266</v>
      </c>
      <c r="H15" s="17">
        <v>0.50334051678355796</v>
      </c>
      <c r="I15" s="17">
        <v>0.59779453623891687</v>
      </c>
      <c r="J15" s="18">
        <v>0.66726915720015356</v>
      </c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</row>
    <row r="16" spans="1:23" ht="16" hidden="1" thickBot="1">
      <c r="A16" s="26"/>
      <c r="B16" s="106" t="s">
        <v>87</v>
      </c>
      <c r="C16" s="107"/>
      <c r="D16" s="108"/>
      <c r="E16" s="19">
        <v>6.4667018141194021E-2</v>
      </c>
      <c r="F16" s="3">
        <v>0.21882291506822626</v>
      </c>
      <c r="G16" s="3">
        <v>0.36851148847761156</v>
      </c>
      <c r="H16" s="3">
        <v>0.49574822620751929</v>
      </c>
      <c r="I16" s="3">
        <v>0.60134997898152653</v>
      </c>
      <c r="J16" s="20">
        <v>0.6928010371071015</v>
      </c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</row>
    <row r="17" spans="1:23" ht="16" hidden="1" thickBot="1">
      <c r="A17" s="26"/>
      <c r="B17" s="109" t="s">
        <v>90</v>
      </c>
      <c r="C17" s="110"/>
      <c r="D17" s="111"/>
      <c r="E17" s="23">
        <v>9.5282568356331379E-2</v>
      </c>
      <c r="F17" s="2">
        <v>0.26831687437955865</v>
      </c>
      <c r="G17" s="2">
        <v>0.39118153535256406</v>
      </c>
      <c r="H17" s="2">
        <v>0.49701853280284625</v>
      </c>
      <c r="I17" s="2">
        <v>0.59473517891274252</v>
      </c>
      <c r="J17" s="21">
        <v>0.66976499941529433</v>
      </c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</row>
    <row r="18" spans="1:23" ht="16" thickBot="1">
      <c r="A18" s="26"/>
      <c r="B18" s="217" t="s">
        <v>17</v>
      </c>
      <c r="C18" s="218"/>
      <c r="D18" s="218"/>
      <c r="E18" s="219" t="s">
        <v>18</v>
      </c>
      <c r="F18" s="220" t="s">
        <v>18</v>
      </c>
      <c r="G18" s="220" t="s">
        <v>18</v>
      </c>
      <c r="H18" s="220" t="s">
        <v>18</v>
      </c>
      <c r="I18" s="220" t="s">
        <v>18</v>
      </c>
      <c r="J18" s="221" t="s">
        <v>18</v>
      </c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</row>
    <row r="19" spans="1:23" ht="16" thickBot="1">
      <c r="A19" s="26"/>
      <c r="B19" s="7"/>
      <c r="C19" s="8"/>
      <c r="D19" s="9"/>
      <c r="E19" s="22" t="s">
        <v>9</v>
      </c>
      <c r="F19" s="11" t="s">
        <v>10</v>
      </c>
      <c r="G19" s="12" t="s">
        <v>11</v>
      </c>
      <c r="H19" s="13" t="s">
        <v>12</v>
      </c>
      <c r="I19" s="14" t="s">
        <v>13</v>
      </c>
      <c r="J19" s="15" t="s">
        <v>14</v>
      </c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</row>
    <row r="20" spans="1:23" ht="23" customHeight="1" thickBot="1">
      <c r="A20" s="26"/>
      <c r="B20" s="134" t="s">
        <v>15</v>
      </c>
      <c r="C20" s="135"/>
      <c r="D20" s="136"/>
      <c r="E20" s="53">
        <v>7.6290780813809969</v>
      </c>
      <c r="F20" s="54">
        <v>20.808103445589428</v>
      </c>
      <c r="G20" s="54">
        <v>32.29380872030044</v>
      </c>
      <c r="H20" s="54">
        <v>42.277111797555733</v>
      </c>
      <c r="I20" s="54">
        <v>50.684450522484383</v>
      </c>
      <c r="J20" s="55">
        <v>57.37115207785056</v>
      </c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</row>
    <row r="21" spans="1:23" ht="16" thickBot="1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</row>
    <row r="22" spans="1:23" ht="26">
      <c r="A22" s="26"/>
      <c r="B22" s="116" t="s">
        <v>109</v>
      </c>
      <c r="C22" s="117"/>
      <c r="D22" s="117"/>
      <c r="E22" s="117"/>
      <c r="F22" s="117"/>
      <c r="G22" s="117"/>
      <c r="H22" s="117"/>
      <c r="I22" s="117"/>
      <c r="J22" s="118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</row>
    <row r="23" spans="1:23" ht="60" customHeight="1">
      <c r="A23" s="26"/>
      <c r="B23" s="97" t="s">
        <v>93</v>
      </c>
      <c r="C23" s="98"/>
      <c r="D23" s="98"/>
      <c r="E23" s="99" t="s">
        <v>94</v>
      </c>
      <c r="F23" s="99"/>
      <c r="G23" s="99"/>
      <c r="H23" s="99"/>
      <c r="I23" s="99" t="s">
        <v>99</v>
      </c>
      <c r="J23" s="100"/>
      <c r="K23" s="26"/>
      <c r="L23" s="26"/>
      <c r="M23" s="26"/>
      <c r="N23" s="26" t="s">
        <v>20</v>
      </c>
      <c r="O23" s="26"/>
      <c r="P23" s="26"/>
      <c r="Q23" s="26"/>
      <c r="R23" s="26"/>
      <c r="S23" s="26"/>
      <c r="T23" s="26"/>
      <c r="U23" s="26"/>
      <c r="V23" s="26"/>
      <c r="W23" s="26"/>
    </row>
    <row r="24" spans="1:23" ht="16">
      <c r="A24" s="26"/>
      <c r="B24" s="101">
        <f>Input!B15</f>
        <v>100</v>
      </c>
      <c r="C24" s="102"/>
      <c r="D24" s="102"/>
      <c r="E24" s="88">
        <f>T_0</f>
        <v>2.4682956058967114</v>
      </c>
      <c r="F24" s="88"/>
      <c r="G24" s="88"/>
      <c r="H24" s="88"/>
      <c r="I24" s="88">
        <f>R_0</f>
        <v>1.9961320909090925</v>
      </c>
      <c r="J24" s="103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</row>
    <row r="25" spans="1:23" ht="16">
      <c r="A25" s="26"/>
      <c r="B25" s="93">
        <f>B24*0.8</f>
        <v>80</v>
      </c>
      <c r="C25" s="94"/>
      <c r="D25" s="94"/>
      <c r="E25" s="89">
        <f>T_1</f>
        <v>3.0124226996460166</v>
      </c>
      <c r="F25" s="89"/>
      <c r="G25" s="89"/>
      <c r="H25" s="89"/>
      <c r="I25" s="89">
        <f>R_1</f>
        <v>1.5969056727272744</v>
      </c>
      <c r="J25" s="104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</row>
    <row r="26" spans="1:23" ht="16">
      <c r="A26" s="26"/>
      <c r="B26" s="95">
        <f>B24*0.6</f>
        <v>60</v>
      </c>
      <c r="C26" s="96"/>
      <c r="D26" s="96"/>
      <c r="E26" s="90">
        <f>T_2</f>
        <v>12.764785198166557</v>
      </c>
      <c r="F26" s="90"/>
      <c r="G26" s="90"/>
      <c r="H26" s="90"/>
      <c r="I26" s="90">
        <f>R_2</f>
        <v>1.1976792545454553</v>
      </c>
      <c r="J26" s="105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</row>
    <row r="27" spans="1:23" ht="16">
      <c r="A27" s="26"/>
      <c r="B27" s="86">
        <f>B24*0.4</f>
        <v>40</v>
      </c>
      <c r="C27" s="87"/>
      <c r="D27" s="87"/>
      <c r="E27" s="91" t="str">
        <f>T_3</f>
        <v>NO OUTBREAK</v>
      </c>
      <c r="F27" s="91"/>
      <c r="G27" s="91"/>
      <c r="H27" s="91"/>
      <c r="I27" s="91">
        <f>R_3</f>
        <v>0.79845283636363718</v>
      </c>
      <c r="J27" s="92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</row>
    <row r="28" spans="1:23" ht="17" thickBot="1">
      <c r="A28" s="26"/>
      <c r="B28" s="81">
        <f>B24*0.2</f>
        <v>20</v>
      </c>
      <c r="C28" s="82"/>
      <c r="D28" s="82"/>
      <c r="E28" s="83" t="str">
        <f>T_5</f>
        <v>NO OUTBREAK</v>
      </c>
      <c r="F28" s="83"/>
      <c r="G28" s="83"/>
      <c r="H28" s="83"/>
      <c r="I28" s="84">
        <f>R_4</f>
        <v>0.40415513939393966</v>
      </c>
      <c r="J28" s="85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</row>
    <row r="29" spans="1:23">
      <c r="A29" s="26"/>
      <c r="B29" s="58" t="s">
        <v>95</v>
      </c>
      <c r="C29" s="26"/>
      <c r="D29" s="26"/>
      <c r="E29" s="58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</row>
    <row r="30" spans="1:23">
      <c r="A30" s="26"/>
      <c r="B30" s="120" t="s">
        <v>100</v>
      </c>
      <c r="C30" s="120"/>
      <c r="D30" s="120"/>
      <c r="E30" s="120"/>
      <c r="F30" s="120"/>
      <c r="G30" s="120"/>
      <c r="H30" s="120"/>
      <c r="I30" s="120"/>
      <c r="J30" s="120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</row>
    <row r="31" spans="1:23">
      <c r="A31" s="26"/>
      <c r="B31" s="120"/>
      <c r="C31" s="120"/>
      <c r="D31" s="120"/>
      <c r="E31" s="120"/>
      <c r="F31" s="120"/>
      <c r="G31" s="120"/>
      <c r="H31" s="120"/>
      <c r="I31" s="120"/>
      <c r="J31" s="120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</row>
    <row r="32" spans="1:23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</row>
    <row r="33" spans="1:23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</row>
    <row r="34" spans="1:23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</row>
    <row r="35" spans="1:23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</row>
    <row r="36" spans="1:23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</row>
    <row r="37" spans="1:23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</row>
    <row r="38" spans="1:23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</row>
    <row r="39" spans="1:23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</row>
  </sheetData>
  <mergeCells count="42">
    <mergeCell ref="J2:L2"/>
    <mergeCell ref="A7:B9"/>
    <mergeCell ref="B12:J12"/>
    <mergeCell ref="A2:B4"/>
    <mergeCell ref="C2:F2"/>
    <mergeCell ref="G7:I8"/>
    <mergeCell ref="G4:H4"/>
    <mergeCell ref="G5:H5"/>
    <mergeCell ref="G6:H6"/>
    <mergeCell ref="G2:I2"/>
    <mergeCell ref="G3:H3"/>
    <mergeCell ref="A5:B6"/>
    <mergeCell ref="C5:F9"/>
    <mergeCell ref="E13:J13"/>
    <mergeCell ref="B22:J22"/>
    <mergeCell ref="J5:L5"/>
    <mergeCell ref="B30:J31"/>
    <mergeCell ref="B20:D20"/>
    <mergeCell ref="B18:D18"/>
    <mergeCell ref="B15:D15"/>
    <mergeCell ref="B24:D24"/>
    <mergeCell ref="I24:J24"/>
    <mergeCell ref="I25:J25"/>
    <mergeCell ref="I26:J26"/>
    <mergeCell ref="B16:D16"/>
    <mergeCell ref="B17:D17"/>
    <mergeCell ref="J4:K4"/>
    <mergeCell ref="J3:K3"/>
    <mergeCell ref="B28:D28"/>
    <mergeCell ref="E28:H28"/>
    <mergeCell ref="I28:J28"/>
    <mergeCell ref="B27:D27"/>
    <mergeCell ref="E24:H24"/>
    <mergeCell ref="E25:H25"/>
    <mergeCell ref="E26:H26"/>
    <mergeCell ref="E27:H27"/>
    <mergeCell ref="I27:J27"/>
    <mergeCell ref="B25:D25"/>
    <mergeCell ref="B26:D26"/>
    <mergeCell ref="B23:D23"/>
    <mergeCell ref="E23:H23"/>
    <mergeCell ref="I23:J23"/>
  </mergeCell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imulate">
                <anchor moveWithCells="1" sizeWithCells="1">
                  <from>
                    <xdr:col>0</xdr:col>
                    <xdr:colOff>139700</xdr:colOff>
                    <xdr:row>4</xdr:row>
                    <xdr:rowOff>50800</xdr:rowOff>
                  </from>
                  <to>
                    <xdr:col>1</xdr:col>
                    <xdr:colOff>635000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5" name="Check Box 3">
              <controlPr defaultSize="0" autoFill="0" autoLine="0" autoPict="0" macro="[0]!CheckBox3_Click">
                <anchor>
                  <from>
                    <xdr:col>0</xdr:col>
                    <xdr:colOff>25400</xdr:colOff>
                    <xdr:row>6</xdr:row>
                    <xdr:rowOff>88900</xdr:rowOff>
                  </from>
                  <to>
                    <xdr:col>0</xdr:col>
                    <xdr:colOff>355600</xdr:colOff>
                    <xdr:row>8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6E21E-C913-4246-B1BA-219349F3838D}">
  <dimension ref="A1:J25"/>
  <sheetViews>
    <sheetView showGridLines="0" showRowColHeaders="0" tabSelected="1" zoomScale="186" workbookViewId="0">
      <selection activeCell="I12" sqref="I12"/>
    </sheetView>
  </sheetViews>
  <sheetFormatPr baseColWidth="10" defaultRowHeight="15"/>
  <sheetData>
    <row r="1" spans="1:10" ht="37">
      <c r="A1" s="239" t="s">
        <v>120</v>
      </c>
      <c r="B1" s="239"/>
      <c r="C1" s="239"/>
      <c r="D1" s="239"/>
      <c r="E1" s="239"/>
      <c r="F1" s="239"/>
      <c r="G1" s="239"/>
      <c r="H1" s="239"/>
      <c r="I1" s="239"/>
      <c r="J1" s="239"/>
    </row>
    <row r="2" spans="1:10">
      <c r="A2" t="s">
        <v>121</v>
      </c>
    </row>
    <row r="4" spans="1:10">
      <c r="A4" s="222" t="s">
        <v>123</v>
      </c>
      <c r="B4" s="222"/>
      <c r="C4" s="222"/>
      <c r="D4" s="222"/>
      <c r="E4" s="222"/>
      <c r="F4" s="222"/>
      <c r="G4" s="222"/>
      <c r="H4" s="222"/>
      <c r="I4" s="222"/>
      <c r="J4" s="222"/>
    </row>
    <row r="5" spans="1:10">
      <c r="A5" s="222" t="s">
        <v>122</v>
      </c>
      <c r="B5" s="222"/>
      <c r="C5" s="222"/>
      <c r="D5" s="222"/>
      <c r="E5" s="222"/>
      <c r="F5" s="222"/>
      <c r="G5" s="222"/>
      <c r="H5" s="222"/>
      <c r="I5" s="222"/>
      <c r="J5" s="222"/>
    </row>
    <row r="6" spans="1:10">
      <c r="A6" s="222" t="s">
        <v>124</v>
      </c>
      <c r="B6" s="222"/>
      <c r="C6" s="222"/>
      <c r="D6" s="222"/>
      <c r="E6" s="222"/>
      <c r="F6" s="222"/>
      <c r="G6" s="222"/>
      <c r="H6" s="222"/>
      <c r="I6" s="222"/>
      <c r="J6" s="222"/>
    </row>
    <row r="7" spans="1:10">
      <c r="A7" s="222" t="s">
        <v>126</v>
      </c>
      <c r="B7" s="222"/>
      <c r="C7" s="222"/>
      <c r="D7" s="222"/>
      <c r="E7" s="222"/>
      <c r="F7" s="222"/>
      <c r="G7" s="222"/>
      <c r="H7" s="222"/>
      <c r="I7" s="222"/>
      <c r="J7" s="222"/>
    </row>
    <row r="8" spans="1:10">
      <c r="A8" s="222" t="s">
        <v>125</v>
      </c>
      <c r="B8" s="222"/>
      <c r="C8" s="222"/>
      <c r="D8" s="222"/>
      <c r="E8" s="222"/>
      <c r="F8" s="222"/>
      <c r="G8" s="222"/>
      <c r="H8" s="222"/>
      <c r="I8" s="222"/>
      <c r="J8" s="222"/>
    </row>
    <row r="10" spans="1:10">
      <c r="A10" s="240" t="s">
        <v>129</v>
      </c>
      <c r="B10" s="240"/>
      <c r="C10" s="240"/>
      <c r="D10" s="240"/>
      <c r="E10" s="240"/>
      <c r="F10" s="240"/>
      <c r="G10" s="240"/>
      <c r="H10" s="240"/>
    </row>
    <row r="11" spans="1:10">
      <c r="A11" s="229" t="s">
        <v>127</v>
      </c>
      <c r="B11" s="229"/>
      <c r="C11" s="229"/>
      <c r="D11" s="230">
        <v>1</v>
      </c>
      <c r="E11" s="230">
        <v>0.8</v>
      </c>
      <c r="F11" s="230">
        <v>0.6</v>
      </c>
      <c r="G11" s="230">
        <v>0.4</v>
      </c>
      <c r="H11" s="230">
        <v>0.2</v>
      </c>
    </row>
    <row r="12" spans="1:10" ht="32">
      <c r="A12" s="223" t="s">
        <v>128</v>
      </c>
      <c r="B12" s="224"/>
      <c r="C12" s="225"/>
      <c r="D12" s="231">
        <f>Output!E24</f>
        <v>2.4682956058967114</v>
      </c>
      <c r="E12" s="231">
        <f>Output!E25</f>
        <v>3.0124226996460166</v>
      </c>
      <c r="F12" s="231">
        <f>Output!E26</f>
        <v>12.764785198166557</v>
      </c>
      <c r="G12" s="231" t="str">
        <f>Output!E27</f>
        <v>NO OUTBREAK</v>
      </c>
      <c r="H12" s="232" t="str">
        <f>Output!E28</f>
        <v>NO OUTBREAK</v>
      </c>
    </row>
    <row r="13" spans="1:10">
      <c r="A13" s="226" t="s">
        <v>130</v>
      </c>
      <c r="B13" s="227"/>
      <c r="C13" s="228"/>
      <c r="D13" s="233">
        <f>Output!I24</f>
        <v>1.9961320909090925</v>
      </c>
      <c r="E13" s="233">
        <f>Output!I25</f>
        <v>1.5969056727272744</v>
      </c>
      <c r="F13" s="233">
        <f>Output!I26</f>
        <v>1.1976792545454553</v>
      </c>
      <c r="G13" s="233">
        <f>Output!I27</f>
        <v>0.79845283636363718</v>
      </c>
      <c r="H13" s="233">
        <f>Output!I28</f>
        <v>0.40415513939393966</v>
      </c>
    </row>
    <row r="14" spans="1:10" ht="15" customHeight="1">
      <c r="A14" s="241" t="s">
        <v>131</v>
      </c>
      <c r="B14" s="241"/>
      <c r="C14" s="241"/>
      <c r="D14" s="241"/>
      <c r="E14" s="241"/>
      <c r="F14" s="241"/>
      <c r="G14" s="241"/>
      <c r="H14" s="241"/>
    </row>
    <row r="15" spans="1:10">
      <c r="A15" s="242"/>
      <c r="B15" s="242"/>
      <c r="C15" s="242"/>
      <c r="D15" s="242"/>
      <c r="E15" s="242"/>
      <c r="F15" s="242"/>
      <c r="G15" s="242"/>
      <c r="H15" s="242"/>
    </row>
    <row r="16" spans="1:10">
      <c r="A16" s="242"/>
      <c r="B16" s="242"/>
      <c r="C16" s="242"/>
      <c r="D16" s="242"/>
      <c r="E16" s="242"/>
      <c r="F16" s="242"/>
      <c r="G16" s="242"/>
      <c r="H16" s="242"/>
    </row>
    <row r="18" spans="1:10">
      <c r="A18" s="222" t="s">
        <v>132</v>
      </c>
      <c r="B18" s="222"/>
      <c r="C18" s="222"/>
      <c r="D18" s="222"/>
      <c r="E18" s="222"/>
      <c r="F18" s="222"/>
      <c r="G18" s="222"/>
      <c r="H18" s="222"/>
      <c r="I18" s="222"/>
      <c r="J18" s="222"/>
    </row>
    <row r="19" spans="1:10">
      <c r="A19" s="222" t="s">
        <v>133</v>
      </c>
      <c r="B19" s="222"/>
      <c r="C19" s="222"/>
      <c r="D19" s="222"/>
      <c r="E19" s="222"/>
      <c r="F19" s="222"/>
      <c r="G19" s="222"/>
      <c r="H19" s="222"/>
      <c r="I19" s="222"/>
      <c r="J19" s="222"/>
    </row>
    <row r="20" spans="1:10">
      <c r="A20" s="222" t="s">
        <v>134</v>
      </c>
      <c r="B20" s="222"/>
      <c r="C20" s="222"/>
      <c r="D20" s="222"/>
      <c r="E20" s="222"/>
      <c r="F20" s="222"/>
      <c r="G20" s="222"/>
      <c r="H20" s="222"/>
      <c r="I20" s="222"/>
      <c r="J20" s="222"/>
    </row>
    <row r="22" spans="1:10">
      <c r="A22" s="240" t="s">
        <v>135</v>
      </c>
      <c r="B22" s="240"/>
      <c r="C22" s="240"/>
      <c r="D22" s="240"/>
      <c r="E22" s="240"/>
      <c r="F22" s="240"/>
      <c r="G22" s="240"/>
      <c r="H22" s="235"/>
    </row>
    <row r="23" spans="1:10" ht="32" customHeight="1">
      <c r="A23" s="236" t="s">
        <v>136</v>
      </c>
      <c r="B23" s="237" t="s">
        <v>138</v>
      </c>
      <c r="C23" s="237" t="s">
        <v>139</v>
      </c>
      <c r="D23" s="237" t="s">
        <v>140</v>
      </c>
      <c r="E23" s="237" t="s">
        <v>141</v>
      </c>
      <c r="F23" s="237" t="s">
        <v>142</v>
      </c>
      <c r="G23" s="237" t="s">
        <v>143</v>
      </c>
      <c r="H23" s="234"/>
    </row>
    <row r="24" spans="1:10" ht="48">
      <c r="A24" s="236" t="s">
        <v>137</v>
      </c>
      <c r="B24" s="238">
        <f>Output!E20</f>
        <v>7.6290780813809969</v>
      </c>
      <c r="C24" s="238">
        <f>Output!F20</f>
        <v>20.808103445589428</v>
      </c>
      <c r="D24" s="238">
        <f>Output!G20</f>
        <v>32.29380872030044</v>
      </c>
      <c r="E24" s="238">
        <f>Output!H20</f>
        <v>42.277111797555733</v>
      </c>
      <c r="F24" s="238">
        <f>Output!I20</f>
        <v>50.684450522484383</v>
      </c>
      <c r="G24" s="238">
        <f>Output!J20</f>
        <v>57.37115207785056</v>
      </c>
      <c r="H24" s="234"/>
    </row>
    <row r="25" spans="1:10">
      <c r="A25" t="s">
        <v>144</v>
      </c>
    </row>
  </sheetData>
  <mergeCells count="7">
    <mergeCell ref="A22:G22"/>
    <mergeCell ref="A14:H16"/>
    <mergeCell ref="A1:J1"/>
    <mergeCell ref="A11:C11"/>
    <mergeCell ref="A10:H10"/>
    <mergeCell ref="A12:C12"/>
    <mergeCell ref="A13:C1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C9743-EB67-874C-8151-99F642A14ED0}">
  <sheetPr codeName="Sheet3"/>
  <dimension ref="A1:AF41"/>
  <sheetViews>
    <sheetView workbookViewId="0">
      <selection activeCell="C30" sqref="C30"/>
    </sheetView>
  </sheetViews>
  <sheetFormatPr baseColWidth="10" defaultColWidth="11.5" defaultRowHeight="15"/>
  <cols>
    <col min="1" max="1" width="96" bestFit="1" customWidth="1"/>
    <col min="2" max="2" width="15.5" bestFit="1" customWidth="1"/>
  </cols>
  <sheetData>
    <row r="1" spans="1:32">
      <c r="A1" s="30" t="s">
        <v>32</v>
      </c>
      <c r="B1" s="31" t="s">
        <v>33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</row>
    <row r="2" spans="1:32">
      <c r="A2" s="32" t="s">
        <v>34</v>
      </c>
      <c r="B2" s="33">
        <v>1.0708833333333334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</row>
    <row r="3" spans="1:32">
      <c r="A3" s="32" t="s">
        <v>35</v>
      </c>
      <c r="B3" s="33">
        <v>1.0056666666666667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</row>
    <row r="4" spans="1:32">
      <c r="A4" s="32" t="s">
        <v>36</v>
      </c>
      <c r="B4" s="33">
        <v>0.81361274509803927</v>
      </c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</row>
    <row r="5" spans="1:32">
      <c r="A5" s="32" t="s">
        <v>37</v>
      </c>
      <c r="B5" s="33">
        <v>0.7728790322580642</v>
      </c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</row>
    <row r="6" spans="1:32">
      <c r="A6" s="32" t="s">
        <v>38</v>
      </c>
      <c r="B6" s="33">
        <v>1.0319042553191486</v>
      </c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</row>
    <row r="7" spans="1:32">
      <c r="A7" s="32" t="s">
        <v>39</v>
      </c>
      <c r="B7" s="33">
        <v>0.96003679245282969</v>
      </c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</row>
    <row r="8" spans="1:32">
      <c r="A8" s="32" t="s">
        <v>40</v>
      </c>
      <c r="B8" s="33">
        <v>1.1271810344827584</v>
      </c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</row>
    <row r="9" spans="1:32">
      <c r="A9" s="32" t="s">
        <v>41</v>
      </c>
      <c r="B9" s="33">
        <v>0.89479444444444434</v>
      </c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</row>
    <row r="10" spans="1:32">
      <c r="A10" s="32" t="s">
        <v>42</v>
      </c>
      <c r="B10" s="33">
        <v>0.69712499999999988</v>
      </c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</row>
    <row r="11" spans="1:32">
      <c r="A11" s="32" t="s">
        <v>43</v>
      </c>
      <c r="B11" s="33">
        <v>2.9755935999999998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</row>
    <row r="12" spans="1:32">
      <c r="A12" s="32" t="s">
        <v>44</v>
      </c>
      <c r="B12" s="33">
        <v>0.69912888888888891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</row>
    <row r="13" spans="1:32">
      <c r="A13" s="32" t="s">
        <v>45</v>
      </c>
      <c r="B13" s="33">
        <v>0.67945144927536183</v>
      </c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</row>
    <row r="14" spans="1:32">
      <c r="A14" s="32" t="s">
        <v>46</v>
      </c>
      <c r="B14" s="33">
        <v>0.81296923076923078</v>
      </c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</row>
    <row r="15" spans="1:32">
      <c r="A15" s="32" t="s">
        <v>47</v>
      </c>
      <c r="B15" s="33">
        <v>1.4592018518518519</v>
      </c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</row>
    <row r="16" spans="1:32">
      <c r="A16" s="32" t="s">
        <v>48</v>
      </c>
      <c r="B16" s="33">
        <v>0.73930818181818236</v>
      </c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</row>
    <row r="17" spans="1:32">
      <c r="A17" s="32" t="s">
        <v>49</v>
      </c>
      <c r="B17" s="33">
        <v>1.6256333333333335</v>
      </c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</row>
    <row r="18" spans="1:32">
      <c r="A18" s="32" t="s">
        <v>50</v>
      </c>
      <c r="B18" s="33">
        <v>0.62887999999999999</v>
      </c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</row>
    <row r="19" spans="1:32">
      <c r="A19" s="32" t="s">
        <v>51</v>
      </c>
      <c r="B19" s="33">
        <v>1.0464285714285715</v>
      </c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</row>
    <row r="20" spans="1:32">
      <c r="A20" s="32" t="s">
        <v>52</v>
      </c>
      <c r="B20" s="33">
        <v>1.2920541666666665</v>
      </c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</row>
    <row r="21" spans="1:32" ht="16" thickBot="1">
      <c r="A21" s="34" t="s">
        <v>53</v>
      </c>
      <c r="B21" s="35">
        <v>0.76124999999999998</v>
      </c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</row>
    <row r="22" spans="1:32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</row>
    <row r="23" spans="1:32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</row>
    <row r="24" spans="1:32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</row>
    <row r="25" spans="1:32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</row>
    <row r="26" spans="1:32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</row>
    <row r="27" spans="1:32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</row>
    <row r="28" spans="1:32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</row>
    <row r="29" spans="1:32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</row>
    <row r="30" spans="1:32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</row>
    <row r="31" spans="1:32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</row>
    <row r="32" spans="1:32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</row>
    <row r="33" spans="1:32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</row>
    <row r="34" spans="1:32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</row>
    <row r="35" spans="1:32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</row>
    <row r="36" spans="1:32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</row>
    <row r="37" spans="1:32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</row>
    <row r="38" spans="1:32">
      <c r="A38" s="36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</row>
    <row r="39" spans="1:32">
      <c r="A39" s="36"/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</row>
    <row r="40" spans="1:32">
      <c r="A40" s="36"/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</row>
    <row r="41" spans="1:32">
      <c r="A41" s="36"/>
      <c r="B41" s="36"/>
    </row>
  </sheetData>
  <sheetProtection algorithmName="SHA-512" hashValue="/xOtx1hVe00MxazDF+LW9FwUFTzPtI37TCG00GuEL3PmWqbsFjMA/ycr+JxNtyixqX2HgZiJ5AlJtkSjzlIOZw==" saltValue="QNFw8lNoQbswNin3VjTJ/w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BC604-243C-8248-ADD2-AAEE595DD25A}">
  <sheetPr codeName="Sheet4"/>
  <dimension ref="A3:M69"/>
  <sheetViews>
    <sheetView showGridLines="0" workbookViewId="0">
      <selection activeCell="M6" sqref="M6"/>
    </sheetView>
  </sheetViews>
  <sheetFormatPr baseColWidth="10" defaultColWidth="11.5" defaultRowHeight="15"/>
  <cols>
    <col min="1" max="1" width="11.5" customWidth="1"/>
    <col min="2" max="2" width="14.1640625" customWidth="1"/>
    <col min="3" max="5" width="11.5" customWidth="1"/>
    <col min="6" max="6" width="13" customWidth="1"/>
    <col min="7" max="7" width="22.33203125" customWidth="1"/>
    <col min="8" max="9" width="11.5" customWidth="1"/>
    <col min="10" max="10" width="16.5" customWidth="1"/>
    <col min="11" max="11" width="1.6640625" customWidth="1"/>
    <col min="12" max="12" width="11.5" customWidth="1"/>
    <col min="13" max="13" width="13.83203125" customWidth="1"/>
    <col min="14" max="16" width="11.5" customWidth="1"/>
  </cols>
  <sheetData>
    <row r="3" spans="2:13" ht="32">
      <c r="B3" s="41" t="s">
        <v>62</v>
      </c>
      <c r="C3" s="42" t="s">
        <v>63</v>
      </c>
      <c r="D3" s="41" t="s">
        <v>64</v>
      </c>
      <c r="E3" s="42" t="s">
        <v>65</v>
      </c>
      <c r="F3" s="41" t="s">
        <v>66</v>
      </c>
      <c r="G3" s="41" t="s">
        <v>67</v>
      </c>
    </row>
    <row r="4" spans="2:13">
      <c r="B4" s="43">
        <f>Input!$A$20</f>
        <v>1</v>
      </c>
      <c r="C4" s="44">
        <f>IF(B4="", 0, Input!$B$20)</f>
        <v>100</v>
      </c>
      <c r="D4" s="47">
        <f>IF(B4="", 0, Input!$C$20)</f>
        <v>55</v>
      </c>
      <c r="E4" s="44">
        <f>IF(C4=0, "", D4/C4)</f>
        <v>0.55000000000000004</v>
      </c>
      <c r="F4" s="44">
        <f>IF(C4=0,"", IF(Input!$D$20&lt;=1, 1, Input!$D$20))</f>
        <v>10</v>
      </c>
      <c r="G4" s="44">
        <f>IF(C4=0,"",(1-(1/F4))*D4*(E4/4))</f>
        <v>6.8062500000000004</v>
      </c>
      <c r="I4" s="45" t="s">
        <v>68</v>
      </c>
      <c r="J4" s="44">
        <f>AVERAGE(G4:G13)</f>
        <v>2.8093902625152629</v>
      </c>
      <c r="L4" s="43" t="s">
        <v>71</v>
      </c>
      <c r="M4" s="44">
        <f>(Input!$E$16)/5</f>
        <v>0.14786163636363647</v>
      </c>
    </row>
    <row r="5" spans="2:13">
      <c r="B5" s="43">
        <f>Input!$A$21</f>
        <v>2</v>
      </c>
      <c r="C5" s="44">
        <f>IF(B5="", 0, Input!$B$21)</f>
        <v>65</v>
      </c>
      <c r="D5" s="47">
        <f>IF(B5="", 0, Input!$C$21)</f>
        <v>15</v>
      </c>
      <c r="E5" s="44">
        <f t="shared" ref="E5:E12" si="0">IF(C5=0, "", D5/C5)</f>
        <v>0.23076923076923078</v>
      </c>
      <c r="F5" s="44">
        <f>IF(C5=0,"", IF(Input!$D$21&lt;=1, 1, Input!$D$21))</f>
        <v>7</v>
      </c>
      <c r="G5" s="44">
        <f t="shared" ref="G5:G13" si="1">IF(C5=0,"",(1-(1/F5))*D5*(E5/4))</f>
        <v>0.74175824175824179</v>
      </c>
      <c r="I5" s="46"/>
      <c r="J5" s="44">
        <f>_xlfn.VAR.P(G4:G13)</f>
        <v>6.4162675411334318</v>
      </c>
      <c r="L5" s="44"/>
      <c r="M5" s="44">
        <f>M4*AVERAGE(F4:F13)</f>
        <v>1.9961320909090925</v>
      </c>
    </row>
    <row r="6" spans="2:13">
      <c r="B6" s="43">
        <f>Input!$A$22</f>
        <v>3</v>
      </c>
      <c r="C6" s="44">
        <f>IF(B6="", 0, Input!$B$22)</f>
        <v>65</v>
      </c>
      <c r="D6" s="47">
        <f>IF(B6="", 0, Input!$C$22)</f>
        <v>20</v>
      </c>
      <c r="E6" s="44">
        <f t="shared" si="0"/>
        <v>0.30769230769230771</v>
      </c>
      <c r="F6" s="44">
        <f>IF(C6=0,"", IF(Input!$D$22&lt;=1, 1, Input!$D$22))</f>
        <v>40</v>
      </c>
      <c r="G6" s="44">
        <f t="shared" si="1"/>
        <v>1.5</v>
      </c>
      <c r="I6" s="43" t="s">
        <v>69</v>
      </c>
      <c r="J6" s="44">
        <f>(ABS((J4^2)-(J5/COUNT(G4:G13))))/(J5-J4)</f>
        <v>1.8917460164343083</v>
      </c>
      <c r="L6" s="43" t="s">
        <v>72</v>
      </c>
      <c r="M6" s="44">
        <f>(0.334+(0.689/J6)+(0.408/M5)-(0.507/(J6*M5))-(0.356/(M5^2))+(0.467/(J6*(M5^2))))</f>
        <v>0.74095587251269079</v>
      </c>
    </row>
    <row r="7" spans="2:13">
      <c r="B7" s="43">
        <f>Input!$A$23</f>
        <v>4</v>
      </c>
      <c r="C7" s="44">
        <f>IF(B7="", 0, Input!$B$23)</f>
        <v>50</v>
      </c>
      <c r="D7" s="47">
        <f>IF(B7="", 0, Input!$C$23)</f>
        <v>10</v>
      </c>
      <c r="E7" s="44">
        <f t="shared" si="0"/>
        <v>0.2</v>
      </c>
      <c r="F7" s="44">
        <f>IF(C7=0,"", IF(Input!$D$23&lt;=1, 1, Input!$D$23))</f>
        <v>4</v>
      </c>
      <c r="G7" s="44">
        <f t="shared" si="1"/>
        <v>0.375</v>
      </c>
      <c r="I7" s="43" t="s">
        <v>70</v>
      </c>
      <c r="J7" s="44" t="str">
        <f>IF(J5&gt;J4, "HETEROGENEOUS","HOMOGENEOUS")</f>
        <v>HETEROGENEOUS</v>
      </c>
      <c r="L7" s="44" t="s">
        <v>61</v>
      </c>
      <c r="M7" s="44">
        <f>IF(M5&lt;=1, "NO OUTBREAK", IF(J7="HETEROGENEOUS",(-LOG(0.1)/LOG(M5))*M6,-LOG(0.1)/LOG(M5)))</f>
        <v>2.4682956058967114</v>
      </c>
    </row>
    <row r="8" spans="2:13">
      <c r="B8" s="43">
        <f>Input!$A$24</f>
        <v>5</v>
      </c>
      <c r="C8" s="44">
        <f>IF(B8="", 0, Input!$B$24)</f>
        <v>50</v>
      </c>
      <c r="D8" s="47">
        <f>IF(B8="", 0, Input!$C$24)</f>
        <v>20</v>
      </c>
      <c r="E8" s="44">
        <f t="shared" si="0"/>
        <v>0.4</v>
      </c>
      <c r="F8" s="44">
        <f>IF(C8=0,"", IF(Input!$D$24&lt;=1, 1, Input!$D$24))</f>
        <v>5</v>
      </c>
      <c r="G8" s="44">
        <f t="shared" si="1"/>
        <v>1.6</v>
      </c>
      <c r="I8" s="49"/>
      <c r="J8" s="50"/>
      <c r="L8" s="50"/>
      <c r="M8" s="50"/>
    </row>
    <row r="9" spans="2:13">
      <c r="B9" s="43">
        <f>Input!$A$25</f>
        <v>6</v>
      </c>
      <c r="C9" s="44">
        <f>IF(B9="", 0, Input!$B$25)</f>
        <v>100</v>
      </c>
      <c r="D9" s="47">
        <f>IF(B9="", 0, Input!$C$25)</f>
        <v>50</v>
      </c>
      <c r="E9" s="44">
        <f>IF(C9=0, "", D9/C9)</f>
        <v>0.5</v>
      </c>
      <c r="F9" s="44">
        <f>IF(C9=0,"", IF(Input!$D$25&lt;=1, 1, Input!$D$25))</f>
        <v>15</v>
      </c>
      <c r="G9" s="44">
        <f t="shared" si="1"/>
        <v>5.833333333333333</v>
      </c>
      <c r="I9" s="49"/>
      <c r="J9" s="50"/>
      <c r="L9" s="50"/>
      <c r="M9" s="50"/>
    </row>
    <row r="10" spans="2:13">
      <c r="B10" s="43" t="str">
        <f>Input!$A$26</f>
        <v/>
      </c>
      <c r="C10" s="44">
        <f>IF(B10="", 0, Input!$B$26)</f>
        <v>0</v>
      </c>
      <c r="D10" s="47">
        <f>IF(B10="", 0, Input!$C$26)</f>
        <v>0</v>
      </c>
      <c r="E10" s="44" t="str">
        <f t="shared" si="0"/>
        <v/>
      </c>
      <c r="F10" s="44" t="str">
        <f>IF(C10=0,"", IF(Input!$D$26&lt;=1, 1, Input!$D$26))</f>
        <v/>
      </c>
      <c r="G10" s="44" t="str">
        <f>IF(C10=0,"",(1-(1/F10))*D10*(E10/4))</f>
        <v/>
      </c>
      <c r="I10" s="49"/>
      <c r="J10" s="50"/>
      <c r="L10" s="50"/>
      <c r="M10" s="50"/>
    </row>
    <row r="11" spans="2:13">
      <c r="B11" s="43" t="str">
        <f>Input!$A$27</f>
        <v/>
      </c>
      <c r="C11" s="44">
        <f>IF(B11="", 0, Input!$B$27)</f>
        <v>0</v>
      </c>
      <c r="D11" s="47">
        <f>IF(B11="", 0, Input!$C$27)</f>
        <v>0</v>
      </c>
      <c r="E11" s="44" t="str">
        <f t="shared" si="0"/>
        <v/>
      </c>
      <c r="F11" s="44" t="str">
        <f>IF(C11=0,"", IF(Input!$D$27&lt;=1, 1, Input!$D$27))</f>
        <v/>
      </c>
      <c r="G11" s="44" t="str">
        <f t="shared" si="1"/>
        <v/>
      </c>
      <c r="I11" s="49"/>
      <c r="J11" s="50"/>
      <c r="L11" s="50"/>
      <c r="M11" s="50"/>
    </row>
    <row r="12" spans="2:13">
      <c r="B12" s="43" t="str">
        <f>Input!$A$28</f>
        <v/>
      </c>
      <c r="C12" s="44">
        <f>IF(B12="", 0, Input!$B$28)</f>
        <v>0</v>
      </c>
      <c r="D12" s="47">
        <f>IF(B12="", 0, Input!$C$28)</f>
        <v>0</v>
      </c>
      <c r="E12" s="44" t="str">
        <f t="shared" si="0"/>
        <v/>
      </c>
      <c r="F12" s="44" t="str">
        <f>IF(C12=0,"", IF(Input!$D$28&lt;=1, 1, Input!$D$28))</f>
        <v/>
      </c>
      <c r="G12" s="44" t="str">
        <f t="shared" si="1"/>
        <v/>
      </c>
      <c r="I12" s="49"/>
      <c r="J12" s="50"/>
      <c r="L12" s="50"/>
      <c r="M12" s="50"/>
    </row>
    <row r="13" spans="2:13">
      <c r="B13" s="43" t="str">
        <f>Input!$A$29</f>
        <v/>
      </c>
      <c r="C13" s="44">
        <f>IF(B13="", 0, Input!$B$29)</f>
        <v>0</v>
      </c>
      <c r="D13" s="47">
        <f>IF(B13="", 0, Input!$C$29)</f>
        <v>0</v>
      </c>
      <c r="E13" s="44" t="str">
        <f>IF(C13=0, "", D13/C13)</f>
        <v/>
      </c>
      <c r="F13" s="44" t="str">
        <f>IF(C13=0,"", IF(Input!$D$29&lt;=1, 1, Input!$D$29))</f>
        <v/>
      </c>
      <c r="G13" s="44" t="str">
        <f t="shared" si="1"/>
        <v/>
      </c>
      <c r="I13" s="49"/>
      <c r="J13" s="50"/>
      <c r="L13" s="50"/>
      <c r="M13" s="50"/>
    </row>
    <row r="17" spans="1:13" ht="32">
      <c r="A17" s="48">
        <v>0.8</v>
      </c>
      <c r="B17" s="41" t="s">
        <v>62</v>
      </c>
      <c r="C17" s="42" t="s">
        <v>63</v>
      </c>
      <c r="D17" s="41" t="s">
        <v>64</v>
      </c>
      <c r="E17" s="42" t="s">
        <v>65</v>
      </c>
      <c r="F17" s="41" t="s">
        <v>66</v>
      </c>
      <c r="G17" s="41" t="s">
        <v>67</v>
      </c>
    </row>
    <row r="18" spans="1:13">
      <c r="B18" s="43">
        <f>Input!$A$20</f>
        <v>1</v>
      </c>
      <c r="C18" s="44">
        <f>IF(B18="", 0, Input!$B$20)</f>
        <v>100</v>
      </c>
      <c r="D18" s="47">
        <f>IF(B18="", 0, (Input!C20/Input!$B$15)*$A$17*Input!$B$15)</f>
        <v>44.000000000000007</v>
      </c>
      <c r="E18" s="44">
        <f>IF(C18=0, "", D18/C18)</f>
        <v>0.44000000000000006</v>
      </c>
      <c r="F18" s="44">
        <f>IF(C18=0,"", IF($A$17*Input!D20&lt;=1, 1, $A$17*Input!D20))</f>
        <v>8</v>
      </c>
      <c r="G18" s="44">
        <f>IF(C18=0,"",(1-(1/F18))*D18*(E18/4))</f>
        <v>4.2350000000000012</v>
      </c>
      <c r="I18" s="45" t="s">
        <v>68</v>
      </c>
      <c r="J18" s="44">
        <f>AVERAGE(G18:G27)</f>
        <v>1.7484096459096463</v>
      </c>
      <c r="L18" s="43" t="s">
        <v>71</v>
      </c>
      <c r="M18" s="44">
        <f>(Input!$E$16)/5</f>
        <v>0.14786163636363647</v>
      </c>
    </row>
    <row r="19" spans="1:13">
      <c r="B19" s="43">
        <f>Input!$A$21</f>
        <v>2</v>
      </c>
      <c r="C19" s="44">
        <f>IF(B19="", 0, Input!$B$21)</f>
        <v>65</v>
      </c>
      <c r="D19" s="47">
        <f>IF(B19="", 0, (Input!C21/Input!$B$15)*$A$17*Input!$B$15)</f>
        <v>12</v>
      </c>
      <c r="E19" s="44">
        <f t="shared" ref="E19:E27" si="2">IF(C19=0, "", D19/C19)</f>
        <v>0.18461538461538463</v>
      </c>
      <c r="F19" s="44">
        <f>IF(C19=0,"", IF($A$17*Input!D21&lt;=1, 1, $A$17*Input!D21))</f>
        <v>5.6000000000000005</v>
      </c>
      <c r="G19" s="44">
        <f t="shared" ref="G19:G27" si="3">IF(C19=0,"",(1-(1/F19))*D19*(E19/4))</f>
        <v>0.45494505494505499</v>
      </c>
      <c r="I19" s="46"/>
      <c r="J19" s="44">
        <f>_xlfn.VAR.P(G18:G27)</f>
        <v>2.520808198868524</v>
      </c>
      <c r="L19" s="44"/>
      <c r="M19" s="44">
        <f>M18*AVERAGE(F18:F27)</f>
        <v>1.5969056727272744</v>
      </c>
    </row>
    <row r="20" spans="1:13">
      <c r="B20" s="43">
        <f>Input!$A$22</f>
        <v>3</v>
      </c>
      <c r="C20" s="44">
        <f>IF(B20="", 0, Input!$B$22)</f>
        <v>65</v>
      </c>
      <c r="D20" s="47">
        <f>IF(B20="", 0, (Input!C22/Input!$B$15)*$A$17*Input!$B$15)</f>
        <v>16.000000000000004</v>
      </c>
      <c r="E20" s="44">
        <f t="shared" si="2"/>
        <v>0.2461538461538462</v>
      </c>
      <c r="F20" s="44">
        <f>IF(C20=0,"", IF($A$17*Input!D22&lt;=1, 1, $A$17*Input!D22))</f>
        <v>32</v>
      </c>
      <c r="G20" s="44">
        <f t="shared" si="3"/>
        <v>0.95384615384615423</v>
      </c>
      <c r="I20" s="43" t="s">
        <v>69</v>
      </c>
      <c r="J20" s="44">
        <f>(ABS((J18^2)-(J19/COUNT(G18:G27))))/(J19-J18)</f>
        <v>3.4137837001344775</v>
      </c>
      <c r="L20" s="43" t="s">
        <v>72</v>
      </c>
      <c r="M20" s="44">
        <f>(0.334+(0.689/J20)+(0.408/M19)-(0.507/(J20*M19))-(0.356/(M19^2))+(0.467/(J20*(M19^2))))</f>
        <v>0.61236306818695141</v>
      </c>
    </row>
    <row r="21" spans="1:13">
      <c r="B21" s="43">
        <f>Input!$A$23</f>
        <v>4</v>
      </c>
      <c r="C21" s="44">
        <f>IF(B21="", 0, Input!$B$23)</f>
        <v>50</v>
      </c>
      <c r="D21" s="47">
        <f>IF(B21="", 0, (Input!C23/Input!$B$15)*$A$17*Input!$B$15)</f>
        <v>8.0000000000000018</v>
      </c>
      <c r="E21" s="44">
        <f t="shared" si="2"/>
        <v>0.16000000000000003</v>
      </c>
      <c r="F21" s="44">
        <f>IF(C21=0,"", IF($A$17*Input!D23&lt;=1, 1, $A$17*Input!D23))</f>
        <v>3.2</v>
      </c>
      <c r="G21" s="44">
        <f t="shared" si="3"/>
        <v>0.22000000000000008</v>
      </c>
      <c r="I21" s="43" t="s">
        <v>70</v>
      </c>
      <c r="J21" s="44" t="str">
        <f>IF(J19&gt;J18, "HETEROGENEOUS","HOMOGENEOUS")</f>
        <v>HETEROGENEOUS</v>
      </c>
      <c r="L21" s="44" t="s">
        <v>61</v>
      </c>
      <c r="M21" s="44">
        <f>IF(M19&lt;=1, "NO OUTBREAK", IF(J21="HETEROGENEOUS",(-LOG(0.1)/LOG(M19))*M20,-LOG(0.1)/LOG(M19)))</f>
        <v>3.0124226996460166</v>
      </c>
    </row>
    <row r="22" spans="1:13">
      <c r="B22" s="43">
        <f>Input!$A$24</f>
        <v>5</v>
      </c>
      <c r="C22" s="44">
        <f>IF(B22="", 0, Input!$B$24)</f>
        <v>50</v>
      </c>
      <c r="D22" s="47">
        <f>IF(B22="", 0, (Input!C24/Input!$B$15)*$A$17*Input!$B$15)</f>
        <v>16.000000000000004</v>
      </c>
      <c r="E22" s="44">
        <f t="shared" si="2"/>
        <v>0.32000000000000006</v>
      </c>
      <c r="F22" s="44">
        <f>IF(C22=0,"", IF($A$17*Input!D24&lt;=1, 1, $A$17*Input!D24))</f>
        <v>4</v>
      </c>
      <c r="G22" s="44">
        <f t="shared" si="3"/>
        <v>0.96000000000000052</v>
      </c>
      <c r="I22" s="49"/>
      <c r="J22" s="50"/>
      <c r="L22" s="50"/>
      <c r="M22" s="50"/>
    </row>
    <row r="23" spans="1:13">
      <c r="B23" s="43">
        <f>Input!$A$25</f>
        <v>6</v>
      </c>
      <c r="C23" s="44">
        <f>IF(B23="", 0, Input!$B$25)</f>
        <v>100</v>
      </c>
      <c r="D23" s="47">
        <f>IF(B23="", 0, (Input!C25/Input!$B$15)*$A$17*Input!$B$15)</f>
        <v>40</v>
      </c>
      <c r="E23" s="44">
        <f t="shared" si="2"/>
        <v>0.4</v>
      </c>
      <c r="F23" s="44">
        <f>IF(C23=0,"", IF($A$17*Input!D25&lt;=1, 1, $A$17*Input!D25))</f>
        <v>12</v>
      </c>
      <c r="G23" s="44">
        <f t="shared" si="3"/>
        <v>3.6666666666666665</v>
      </c>
      <c r="I23" s="49"/>
      <c r="J23" s="50"/>
      <c r="L23" s="50"/>
      <c r="M23" s="50"/>
    </row>
    <row r="24" spans="1:13">
      <c r="B24" s="43" t="str">
        <f>Input!$A$26</f>
        <v/>
      </c>
      <c r="C24" s="44">
        <f>IF(B24="", 0, Input!$B$26)</f>
        <v>0</v>
      </c>
      <c r="D24" s="47">
        <f>IF(B24="", 0, (Input!C26/Input!$B$15)*$A$17*Input!$B$15)</f>
        <v>0</v>
      </c>
      <c r="E24" s="44" t="str">
        <f t="shared" si="2"/>
        <v/>
      </c>
      <c r="F24" s="44" t="str">
        <f>IF(C24=0,"", IF($A$17*Input!D26&lt;=1, 1, $A$17*Input!D26))</f>
        <v/>
      </c>
      <c r="G24" s="44" t="str">
        <f t="shared" si="3"/>
        <v/>
      </c>
      <c r="I24" s="49"/>
      <c r="J24" s="50"/>
      <c r="L24" s="50"/>
      <c r="M24" s="50"/>
    </row>
    <row r="25" spans="1:13">
      <c r="B25" s="43" t="str">
        <f>Input!$A$27</f>
        <v/>
      </c>
      <c r="C25" s="44">
        <f>IF(B25="", 0, Input!$B$27)</f>
        <v>0</v>
      </c>
      <c r="D25" s="47">
        <f>IF(B25="", 0, (Input!C27/Input!$B$15)*$A$17*Input!$B$15)</f>
        <v>0</v>
      </c>
      <c r="E25" s="44" t="str">
        <f t="shared" si="2"/>
        <v/>
      </c>
      <c r="F25" s="44" t="str">
        <f>IF(C25=0,"", IF($A$17*Input!D27&lt;=1, 1, $A$17*Input!D27))</f>
        <v/>
      </c>
      <c r="G25" s="44" t="str">
        <f t="shared" si="3"/>
        <v/>
      </c>
      <c r="I25" s="49"/>
      <c r="J25" s="50"/>
      <c r="L25" s="50"/>
      <c r="M25" s="50"/>
    </row>
    <row r="26" spans="1:13">
      <c r="B26" s="43" t="str">
        <f>Input!$A$28</f>
        <v/>
      </c>
      <c r="C26" s="44">
        <f>IF(B26="", 0, Input!$B$28)</f>
        <v>0</v>
      </c>
      <c r="D26" s="47">
        <f>IF(B26="", 0, (Input!C28/Input!$B$15)*$A$17*Input!$B$15)</f>
        <v>0</v>
      </c>
      <c r="E26" s="44" t="str">
        <f t="shared" si="2"/>
        <v/>
      </c>
      <c r="F26" s="44" t="str">
        <f>IF(C26=0,"", IF($A$17*Input!D28&lt;=1, 1, $A$17*Input!D28))</f>
        <v/>
      </c>
      <c r="G26" s="44" t="str">
        <f t="shared" si="3"/>
        <v/>
      </c>
      <c r="I26" s="49"/>
      <c r="J26" s="50"/>
      <c r="L26" s="50"/>
      <c r="M26" s="50"/>
    </row>
    <row r="27" spans="1:13">
      <c r="B27" s="43" t="str">
        <f>Input!$A$29</f>
        <v/>
      </c>
      <c r="C27" s="44">
        <f>IF(B27="", 0, Input!$B$29)</f>
        <v>0</v>
      </c>
      <c r="D27" s="47">
        <f>IF(B27="", 0, (Input!C29/Input!$B$15)*$A$17*Input!$B$15)</f>
        <v>0</v>
      </c>
      <c r="E27" s="44" t="str">
        <f t="shared" si="2"/>
        <v/>
      </c>
      <c r="F27" s="44" t="str">
        <f>IF(C27=0,"", IF($A$17*Input!D29&lt;=1, 1, $A$17*Input!D29))</f>
        <v/>
      </c>
      <c r="G27" s="44" t="str">
        <f t="shared" si="3"/>
        <v/>
      </c>
      <c r="I27" s="49"/>
      <c r="J27" s="50"/>
      <c r="L27" s="50"/>
      <c r="M27" s="50"/>
    </row>
    <row r="31" spans="1:13" ht="32">
      <c r="A31" s="48">
        <v>0.6</v>
      </c>
      <c r="B31" s="41" t="s">
        <v>62</v>
      </c>
      <c r="C31" s="42" t="s">
        <v>63</v>
      </c>
      <c r="D31" s="41" t="s">
        <v>64</v>
      </c>
      <c r="E31" s="42" t="s">
        <v>65</v>
      </c>
      <c r="F31" s="41" t="s">
        <v>66</v>
      </c>
      <c r="G31" s="41" t="s">
        <v>67</v>
      </c>
    </row>
    <row r="32" spans="1:13">
      <c r="B32" s="43">
        <f>Input!$A$20</f>
        <v>1</v>
      </c>
      <c r="C32" s="44">
        <f>IF(B32="", 0, Input!$B$20)</f>
        <v>100</v>
      </c>
      <c r="D32" s="47">
        <f>IF(B32="",0, (Input!C20/Input!$B$15)*$A$31*Input!$B$15)</f>
        <v>33</v>
      </c>
      <c r="E32" s="44">
        <f>IF(C32=0, "", D32/C32)</f>
        <v>0.33</v>
      </c>
      <c r="F32" s="44">
        <f>IF(C32=0,"", IF($A$31*Input!D20&lt;=1, 1, $A$31*Input!D20))</f>
        <v>6</v>
      </c>
      <c r="G32" s="44">
        <f>IF(C32=0,"",(1-(1/F32))*D32*(E32/4))</f>
        <v>2.2687500000000003</v>
      </c>
      <c r="I32" s="45" t="s">
        <v>68</v>
      </c>
      <c r="J32" s="44">
        <f>AVERAGE(G32:G41)</f>
        <v>0.93698031135531135</v>
      </c>
      <c r="L32" s="43" t="s">
        <v>71</v>
      </c>
      <c r="M32" s="44">
        <f>(Input!$E$16)/5</f>
        <v>0.14786163636363647</v>
      </c>
    </row>
    <row r="33" spans="1:13">
      <c r="B33" s="43">
        <f>Input!$A$21</f>
        <v>2</v>
      </c>
      <c r="C33" s="44">
        <f>IF(B33="", 0, Input!$B$21)</f>
        <v>65</v>
      </c>
      <c r="D33" s="47">
        <f>IF(B33="",0, (Input!C21/Input!$B$15)*$A$31*Input!$B$15)</f>
        <v>9</v>
      </c>
      <c r="E33" s="44">
        <f t="shared" ref="E33:E41" si="4">IF(C33=0, "", D33/C33)</f>
        <v>0.13846153846153847</v>
      </c>
      <c r="F33" s="44">
        <f>IF(C33=0,"", IF($A$31*Input!D21&lt;=1, 1, $A$31*Input!D21))</f>
        <v>4.2</v>
      </c>
      <c r="G33" s="44">
        <f t="shared" ref="G33:G41" si="5">IF(C33=0,"",(1-(1/F33))*D33*(E33/4))</f>
        <v>0.23736263736263735</v>
      </c>
      <c r="I33" s="46"/>
      <c r="J33" s="44">
        <f>_xlfn.VAR.P(G32:G41)</f>
        <v>0.7431859895403552</v>
      </c>
      <c r="L33" s="44"/>
      <c r="M33" s="44">
        <f>M32*AVERAGE(F32:F41)</f>
        <v>1.1976792545454553</v>
      </c>
    </row>
    <row r="34" spans="1:13">
      <c r="B34" s="43">
        <f>Input!$A$22</f>
        <v>3</v>
      </c>
      <c r="C34" s="44">
        <f>IF(B34="", 0, Input!$B$22)</f>
        <v>65</v>
      </c>
      <c r="D34" s="47">
        <f>IF(B34="",0, (Input!C22/Input!$B$15)*$A$31*Input!$B$15)</f>
        <v>12</v>
      </c>
      <c r="E34" s="44">
        <f t="shared" si="4"/>
        <v>0.18461538461538463</v>
      </c>
      <c r="F34" s="44">
        <f>IF(C34=0,"", IF($A$31*Input!D22&lt;=1, 1, $A$31*Input!D22))</f>
        <v>24</v>
      </c>
      <c r="G34" s="44">
        <f t="shared" si="5"/>
        <v>0.53076923076923077</v>
      </c>
      <c r="I34" s="43" t="s">
        <v>69</v>
      </c>
      <c r="J34" s="44">
        <f>(ABS((J32^2)-(J33/COUNT(G32:G41))))/(J33-J32)</f>
        <v>-3.8910725825984525</v>
      </c>
      <c r="L34" s="43" t="s">
        <v>72</v>
      </c>
      <c r="M34" s="44">
        <f>(0.334+(0.689/J34)+(0.408/M33)-(0.507/(J34*M33))-(0.356/(M33^2))+(0.467/(J34*(M33^2))))</f>
        <v>0.27452849965305504</v>
      </c>
    </row>
    <row r="35" spans="1:13">
      <c r="B35" s="43">
        <f>Input!$A$23</f>
        <v>4</v>
      </c>
      <c r="C35" s="44">
        <f>IF(B35="", 0, Input!$B$23)</f>
        <v>50</v>
      </c>
      <c r="D35" s="47">
        <f>IF(B35="",0, (Input!C23/Input!$B$15)*$A$31*Input!$B$15)</f>
        <v>6</v>
      </c>
      <c r="E35" s="44">
        <f t="shared" si="4"/>
        <v>0.12</v>
      </c>
      <c r="F35" s="44">
        <f>IF(C35=0,"", IF($A$31*Input!D23&lt;=1, 1, $A$31*Input!D23))</f>
        <v>2.4</v>
      </c>
      <c r="G35" s="44">
        <f t="shared" si="5"/>
        <v>0.10499999999999998</v>
      </c>
      <c r="I35" s="43" t="s">
        <v>70</v>
      </c>
      <c r="J35" s="44" t="str">
        <f>IF(J33&gt;J32, "HETEROGENEOUS","HOMOGENEOUS")</f>
        <v>HOMOGENEOUS</v>
      </c>
      <c r="L35" s="44" t="s">
        <v>61</v>
      </c>
      <c r="M35" s="44">
        <f>IF(M33&lt;=1, "NO OUTBREAK", IF(J35="HETEROGENEOUS",(-LOG(0.1)/LOG(M33))*M34,-LOG(0.1)/LOG(M33)))</f>
        <v>12.764785198166557</v>
      </c>
    </row>
    <row r="36" spans="1:13">
      <c r="B36" s="43">
        <f>Input!$A$24</f>
        <v>5</v>
      </c>
      <c r="C36" s="44">
        <f>IF(B36="", 0, Input!$B$24)</f>
        <v>50</v>
      </c>
      <c r="D36" s="47">
        <f>IF(B36="",0, (Input!C24/Input!$B$15)*$A$31*Input!$B$15)</f>
        <v>12</v>
      </c>
      <c r="E36" s="44">
        <f t="shared" si="4"/>
        <v>0.24</v>
      </c>
      <c r="F36" s="44">
        <f>IF(C36=0,"", IF($A$31*Input!D24&lt;=1, 1, $A$31*Input!D24))</f>
        <v>3</v>
      </c>
      <c r="G36" s="44">
        <f t="shared" si="5"/>
        <v>0.48</v>
      </c>
      <c r="I36" s="49"/>
      <c r="J36" s="50"/>
      <c r="L36" s="50"/>
      <c r="M36" s="50"/>
    </row>
    <row r="37" spans="1:13">
      <c r="B37" s="43">
        <f>Input!$A$25</f>
        <v>6</v>
      </c>
      <c r="C37" s="44">
        <f>IF(B37="", 0, Input!$B$25)</f>
        <v>100</v>
      </c>
      <c r="D37" s="47">
        <f>IF(B37="",0, (Input!C25/Input!$B$15)*$A$31*Input!$B$15)</f>
        <v>30</v>
      </c>
      <c r="E37" s="44">
        <f t="shared" si="4"/>
        <v>0.3</v>
      </c>
      <c r="F37" s="44">
        <f>IF(C37=0,"", IF($A$31*Input!D25&lt;=1, 1, $A$31*Input!D25))</f>
        <v>9</v>
      </c>
      <c r="G37" s="44">
        <f t="shared" si="5"/>
        <v>1.9999999999999998</v>
      </c>
      <c r="I37" s="49"/>
      <c r="J37" s="50"/>
      <c r="L37" s="50"/>
      <c r="M37" s="50"/>
    </row>
    <row r="38" spans="1:13">
      <c r="B38" s="43" t="str">
        <f>Input!$A$26</f>
        <v/>
      </c>
      <c r="C38" s="44">
        <f>IF(B38="", 0, Input!$B$26)</f>
        <v>0</v>
      </c>
      <c r="D38" s="47">
        <f>IF(B38="",0, (Input!C26/Input!$B$15)*$A$31*Input!$B$15)</f>
        <v>0</v>
      </c>
      <c r="E38" s="44" t="str">
        <f t="shared" si="4"/>
        <v/>
      </c>
      <c r="F38" s="44" t="str">
        <f>IF(C38=0,"", IF($A$31*Input!D26&lt;=1, 1, $A$31*Input!D26))</f>
        <v/>
      </c>
      <c r="G38" s="44" t="str">
        <f t="shared" si="5"/>
        <v/>
      </c>
      <c r="I38" s="49"/>
      <c r="J38" s="50"/>
      <c r="L38" s="50"/>
      <c r="M38" s="50"/>
    </row>
    <row r="39" spans="1:13">
      <c r="B39" s="43" t="str">
        <f>Input!$A$27</f>
        <v/>
      </c>
      <c r="C39" s="44">
        <f>IF(B39="", 0, Input!$B$27)</f>
        <v>0</v>
      </c>
      <c r="D39" s="47">
        <f>IF(B39="",0, (Input!C27/Input!$B$15)*$A$31*Input!$B$15)</f>
        <v>0</v>
      </c>
      <c r="E39" s="44" t="str">
        <f t="shared" si="4"/>
        <v/>
      </c>
      <c r="F39" s="44" t="str">
        <f>IF(C39=0,"", IF($A$31*Input!D27&lt;=1, 1, $A$31*Input!D27))</f>
        <v/>
      </c>
      <c r="G39" s="44" t="str">
        <f t="shared" si="5"/>
        <v/>
      </c>
      <c r="I39" s="49"/>
      <c r="J39" s="50"/>
      <c r="L39" s="50"/>
      <c r="M39" s="50"/>
    </row>
    <row r="40" spans="1:13">
      <c r="B40" s="43" t="str">
        <f>Input!$A$28</f>
        <v/>
      </c>
      <c r="C40" s="44">
        <f>IF(B40="", 0, Input!$B$28)</f>
        <v>0</v>
      </c>
      <c r="D40" s="47">
        <f>IF(B40="",0, (Input!C28/Input!$B$15)*$A$31*Input!$B$15)</f>
        <v>0</v>
      </c>
      <c r="E40" s="44" t="str">
        <f t="shared" si="4"/>
        <v/>
      </c>
      <c r="F40" s="44" t="str">
        <f>IF(C40=0,"", IF($A$31*Input!D28&lt;=1, 1, $A$31*Input!D28))</f>
        <v/>
      </c>
      <c r="G40" s="44" t="str">
        <f t="shared" si="5"/>
        <v/>
      </c>
      <c r="I40" s="49"/>
      <c r="J40" s="50"/>
      <c r="L40" s="50"/>
      <c r="M40" s="50"/>
    </row>
    <row r="41" spans="1:13">
      <c r="B41" s="43" t="str">
        <f>Input!$A$29</f>
        <v/>
      </c>
      <c r="C41" s="44">
        <f>IF(B41="", 0, Input!$B$29)</f>
        <v>0</v>
      </c>
      <c r="D41" s="47">
        <f>IF(B41="",0, (Input!C29/Input!$B$15)*$A$31*Input!$B$15)</f>
        <v>0</v>
      </c>
      <c r="E41" s="44" t="str">
        <f t="shared" si="4"/>
        <v/>
      </c>
      <c r="F41" s="44" t="str">
        <f>IF(C41=0,"", IF($A$31*Input!D29&lt;=1, 1, $A$31*Input!D29))</f>
        <v/>
      </c>
      <c r="G41" s="44" t="str">
        <f t="shared" si="5"/>
        <v/>
      </c>
      <c r="I41" s="49"/>
      <c r="J41" s="50"/>
      <c r="L41" s="50"/>
      <c r="M41" s="50"/>
    </row>
    <row r="45" spans="1:13" ht="32">
      <c r="A45" s="48">
        <v>0.4</v>
      </c>
      <c r="B45" s="41" t="s">
        <v>62</v>
      </c>
      <c r="C45" s="42" t="s">
        <v>63</v>
      </c>
      <c r="D45" s="41" t="s">
        <v>64</v>
      </c>
      <c r="E45" s="42" t="s">
        <v>65</v>
      </c>
      <c r="F45" s="41" t="s">
        <v>66</v>
      </c>
      <c r="G45" s="41" t="s">
        <v>67</v>
      </c>
    </row>
    <row r="46" spans="1:13">
      <c r="B46" s="43">
        <f>Input!$A$20</f>
        <v>1</v>
      </c>
      <c r="C46" s="44">
        <f>IF(B46="", 0, Input!$B$20)</f>
        <v>100</v>
      </c>
      <c r="D46" s="47">
        <f>IF(B46="", 0, (Input!C20/Input!$B$15)*$A$45*Input!$B$15)</f>
        <v>22.000000000000004</v>
      </c>
      <c r="E46" s="44">
        <f>IF(C46=0, "", D46/C46)</f>
        <v>0.22000000000000003</v>
      </c>
      <c r="F46" s="44">
        <f>IF(C46=0,"", IF($A$45*Input!D20&lt;=1, 1, $A$45*Input!D20))</f>
        <v>4</v>
      </c>
      <c r="G46" s="44">
        <f>IF(C46=0,"",(1-(1/F46))*D46*(E46/4))</f>
        <v>0.90750000000000031</v>
      </c>
      <c r="I46" s="45" t="s">
        <v>68</v>
      </c>
      <c r="J46" s="44">
        <f>AVERAGE(G46:G55)</f>
        <v>0.37510225885225895</v>
      </c>
      <c r="L46" s="43" t="s">
        <v>71</v>
      </c>
      <c r="M46" s="44">
        <f>(Input!$E$16)/5</f>
        <v>0.14786163636363647</v>
      </c>
    </row>
    <row r="47" spans="1:13">
      <c r="B47" s="43">
        <f>Input!$A$21</f>
        <v>2</v>
      </c>
      <c r="C47" s="44">
        <f>IF(B47="", 0, Input!$B$21)</f>
        <v>65</v>
      </c>
      <c r="D47" s="47">
        <f>IF(B47="", 0, (Input!C21/Input!$B$15)*$A$45*Input!$B$15)</f>
        <v>6</v>
      </c>
      <c r="E47" s="44">
        <f t="shared" ref="E47:E55" si="6">IF(C47=0, "", D47/C47)</f>
        <v>9.2307692307692313E-2</v>
      </c>
      <c r="F47" s="44">
        <f>IF(C47=0,"", IF($A$45*Input!D21&lt;=1, 1, $A$45*Input!D21))</f>
        <v>2.8000000000000003</v>
      </c>
      <c r="G47" s="44">
        <f t="shared" ref="G47:G55" si="7">IF(C47=0,"",(1-(1/F47))*D47*(E47/4))</f>
        <v>8.9010989010989028E-2</v>
      </c>
      <c r="I47" s="46"/>
      <c r="J47" s="44">
        <f>_xlfn.VAR.P(G46:G55)</f>
        <v>0.12691131015042997</v>
      </c>
      <c r="L47" s="44"/>
      <c r="M47" s="44">
        <f>M46*AVERAGE(F46:F55)</f>
        <v>0.79845283636363718</v>
      </c>
    </row>
    <row r="48" spans="1:13">
      <c r="B48" s="43">
        <f>Input!$A$22</f>
        <v>3</v>
      </c>
      <c r="C48" s="44">
        <f>IF(B48="", 0, Input!$B$22)</f>
        <v>65</v>
      </c>
      <c r="D48" s="47">
        <f>IF(B48="", 0, (Input!C22/Input!$B$15)*$A$45*Input!$B$15)</f>
        <v>8.0000000000000018</v>
      </c>
      <c r="E48" s="44">
        <f t="shared" si="6"/>
        <v>0.1230769230769231</v>
      </c>
      <c r="F48" s="44">
        <f>IF(C48=0,"", IF($A$45*Input!D22&lt;=1, 1, $A$45*Input!D22))</f>
        <v>16</v>
      </c>
      <c r="G48" s="44">
        <f t="shared" si="7"/>
        <v>0.23076923076923087</v>
      </c>
      <c r="I48" s="43" t="s">
        <v>69</v>
      </c>
      <c r="J48" s="44">
        <f>(ABS((J46^2)-(J47/COUNT(G46:G55))))/(J47-J46)</f>
        <v>-0.48168484868728983</v>
      </c>
      <c r="L48" s="43" t="s">
        <v>72</v>
      </c>
      <c r="M48" s="44">
        <f>(0.334+(0.689/J48)+(0.408/M47)-(0.507/(J48*M47))-(0.356/(M47^2))+(0.467/(J48*(M47^2))))</f>
        <v>-1.3463130466582376</v>
      </c>
    </row>
    <row r="49" spans="1:13">
      <c r="B49" s="43">
        <f>Input!$A$23</f>
        <v>4</v>
      </c>
      <c r="C49" s="44">
        <f>IF(B49="", 0, Input!$B$23)</f>
        <v>50</v>
      </c>
      <c r="D49" s="47">
        <f>IF(B49="", 0, (Input!C23/Input!$B$15)*$A$45*Input!$B$15)</f>
        <v>4.0000000000000009</v>
      </c>
      <c r="E49" s="44">
        <f t="shared" si="6"/>
        <v>8.0000000000000016E-2</v>
      </c>
      <c r="F49" s="44">
        <f>IF(C49=0,"", IF($A$45*Input!D23&lt;=1, 1, $A$45*Input!D23))</f>
        <v>1.6</v>
      </c>
      <c r="G49" s="44">
        <f t="shared" si="7"/>
        <v>3.0000000000000016E-2</v>
      </c>
      <c r="I49" s="43" t="s">
        <v>70</v>
      </c>
      <c r="J49" s="44" t="str">
        <f>IF(J47&gt;J46, "HETEROGENEOUS","HOMOGENEOUS")</f>
        <v>HOMOGENEOUS</v>
      </c>
      <c r="L49" s="44" t="s">
        <v>61</v>
      </c>
      <c r="M49" s="44" t="str">
        <f>IF(M47&lt;=1, "NO OUTBREAK", IF(J49="HETEROGENEOUS",(-LOG(0.1)/LOG(M47))*M48,-LOG(0.1)/LOG(M47)))</f>
        <v>NO OUTBREAK</v>
      </c>
    </row>
    <row r="50" spans="1:13">
      <c r="B50" s="43">
        <f>Input!$A$24</f>
        <v>5</v>
      </c>
      <c r="C50" s="44">
        <f>IF(B50="", 0, Input!$B$24)</f>
        <v>50</v>
      </c>
      <c r="D50" s="47">
        <f>IF(B50="", 0, (Input!C24/Input!$B$15)*$A$45*Input!$B$15)</f>
        <v>8.0000000000000018</v>
      </c>
      <c r="E50" s="44">
        <f t="shared" si="6"/>
        <v>0.16000000000000003</v>
      </c>
      <c r="F50" s="44">
        <f>IF(C50=0,"", IF($A$45*Input!D24&lt;=1, 1, $A$45*Input!D24))</f>
        <v>2</v>
      </c>
      <c r="G50" s="44">
        <f t="shared" si="7"/>
        <v>0.16000000000000006</v>
      </c>
      <c r="I50" s="49"/>
      <c r="J50" s="50"/>
      <c r="L50" s="50"/>
      <c r="M50" s="50"/>
    </row>
    <row r="51" spans="1:13">
      <c r="B51" s="43">
        <f>Input!$A$25</f>
        <v>6</v>
      </c>
      <c r="C51" s="44">
        <f>IF(B51="", 0, Input!$B$25)</f>
        <v>100</v>
      </c>
      <c r="D51" s="47">
        <f>IF(B51="", 0, (Input!C25/Input!$B$15)*$A$45*Input!$B$15)</f>
        <v>20</v>
      </c>
      <c r="E51" s="44">
        <f t="shared" si="6"/>
        <v>0.2</v>
      </c>
      <c r="F51" s="44">
        <f>IF(C51=0,"", IF($A$45*Input!D25&lt;=1, 1, $A$45*Input!D25))</f>
        <v>6</v>
      </c>
      <c r="G51" s="44">
        <f t="shared" si="7"/>
        <v>0.83333333333333348</v>
      </c>
      <c r="I51" s="49"/>
      <c r="J51" s="50"/>
      <c r="L51" s="50"/>
      <c r="M51" s="50"/>
    </row>
    <row r="52" spans="1:13">
      <c r="B52" s="43" t="str">
        <f>Input!$A$26</f>
        <v/>
      </c>
      <c r="C52" s="44">
        <f>IF(B52="", 0, Input!$B$26)</f>
        <v>0</v>
      </c>
      <c r="D52" s="47">
        <f>IF(B52="", 0, (Input!C26/Input!$B$15)*$A$45*Input!$B$15)</f>
        <v>0</v>
      </c>
      <c r="E52" s="44" t="str">
        <f t="shared" si="6"/>
        <v/>
      </c>
      <c r="F52" s="44" t="str">
        <f>IF(C52=0,"", IF($A$45*Input!D26&lt;=1, 1, $A$45*Input!D26))</f>
        <v/>
      </c>
      <c r="G52" s="44" t="str">
        <f t="shared" si="7"/>
        <v/>
      </c>
      <c r="I52" s="49"/>
      <c r="J52" s="50"/>
      <c r="L52" s="50"/>
      <c r="M52" s="50"/>
    </row>
    <row r="53" spans="1:13">
      <c r="B53" s="43" t="str">
        <f>Input!$A$27</f>
        <v/>
      </c>
      <c r="C53" s="44">
        <f>IF(B53="", 0, Input!$B$27)</f>
        <v>0</v>
      </c>
      <c r="D53" s="47">
        <f>IF(B53="", 0, (Input!C27/Input!$B$15)*$A$45*Input!$B$15)</f>
        <v>0</v>
      </c>
      <c r="E53" s="44" t="str">
        <f t="shared" si="6"/>
        <v/>
      </c>
      <c r="F53" s="44" t="str">
        <f>IF(C53=0,"", IF($A$45*Input!D27&lt;=1, 1, $A$45*Input!D27))</f>
        <v/>
      </c>
      <c r="G53" s="44" t="str">
        <f t="shared" si="7"/>
        <v/>
      </c>
      <c r="I53" s="49"/>
      <c r="J53" s="50"/>
      <c r="L53" s="50"/>
      <c r="M53" s="50"/>
    </row>
    <row r="54" spans="1:13">
      <c r="B54" s="43" t="str">
        <f>Input!$A$28</f>
        <v/>
      </c>
      <c r="C54" s="44">
        <f>IF(B54="", 0, Input!$B$28)</f>
        <v>0</v>
      </c>
      <c r="D54" s="47">
        <f>IF(B54="", 0, (Input!C28/Input!$B$15)*$A$45*Input!$B$15)</f>
        <v>0</v>
      </c>
      <c r="E54" s="44" t="str">
        <f t="shared" si="6"/>
        <v/>
      </c>
      <c r="F54" s="44" t="str">
        <f>IF(C54=0,"", IF($A$45*Input!D28&lt;=1, 1, $A$45*Input!D28))</f>
        <v/>
      </c>
      <c r="G54" s="44" t="str">
        <f t="shared" si="7"/>
        <v/>
      </c>
      <c r="I54" s="49"/>
      <c r="J54" s="50"/>
      <c r="L54" s="50"/>
      <c r="M54" s="50"/>
    </row>
    <row r="55" spans="1:13">
      <c r="B55" s="43" t="str">
        <f>Input!$A$29</f>
        <v/>
      </c>
      <c r="C55" s="44">
        <f>IF(B55="", 0, Input!$B$29)</f>
        <v>0</v>
      </c>
      <c r="D55" s="47">
        <f>IF(B55="", 0, (Input!C29/Input!$B$15)*$A$45*Input!$B$15)</f>
        <v>0</v>
      </c>
      <c r="E55" s="44" t="str">
        <f t="shared" si="6"/>
        <v/>
      </c>
      <c r="F55" s="44" t="str">
        <f>IF(C55=0,"", IF($A$45*Input!D29&lt;=1, 1, $A$45*Input!D29))</f>
        <v/>
      </c>
      <c r="G55" s="44" t="str">
        <f t="shared" si="7"/>
        <v/>
      </c>
      <c r="I55" s="49"/>
      <c r="J55" s="50"/>
      <c r="L55" s="50"/>
      <c r="M55" s="50"/>
    </row>
    <row r="59" spans="1:13" ht="32">
      <c r="A59" s="48">
        <v>0.2</v>
      </c>
      <c r="B59" s="41" t="s">
        <v>62</v>
      </c>
      <c r="C59" s="42" t="s">
        <v>63</v>
      </c>
      <c r="D59" s="41" t="s">
        <v>64</v>
      </c>
      <c r="E59" s="42" t="s">
        <v>65</v>
      </c>
      <c r="F59" s="41" t="s">
        <v>66</v>
      </c>
      <c r="G59" s="41" t="s">
        <v>67</v>
      </c>
    </row>
    <row r="60" spans="1:13">
      <c r="B60" s="43">
        <f>Input!$A$20</f>
        <v>1</v>
      </c>
      <c r="C60" s="44">
        <f>IF(B60="", 0, Input!$B$20)</f>
        <v>100</v>
      </c>
      <c r="D60" s="47">
        <f>IF(B60="", 0, (Input!C20/Input!$B$15)*$A$59*Input!$B$15)</f>
        <v>11.000000000000002</v>
      </c>
      <c r="E60" s="44">
        <f>IF(C60=0, "", D60/C60)</f>
        <v>0.11000000000000001</v>
      </c>
      <c r="F60" s="44">
        <f>IF(C60=0,"", IF($A$59*Input!D20&lt;=1, 1, $A$59*Input!D20))</f>
        <v>2</v>
      </c>
      <c r="G60" s="44">
        <f>IF(C60=0,"",(1-(1/F60))*D60*(E60/4))</f>
        <v>0.15125000000000005</v>
      </c>
      <c r="I60" s="45" t="s">
        <v>68</v>
      </c>
      <c r="J60" s="44">
        <f>AVERAGE(G60:G69)</f>
        <v>6.3608821733821749E-2</v>
      </c>
      <c r="L60" s="43" t="s">
        <v>71</v>
      </c>
      <c r="M60" s="44">
        <f>(Input!$E$16)/5</f>
        <v>0.14786163636363647</v>
      </c>
    </row>
    <row r="61" spans="1:13">
      <c r="B61" s="43">
        <f>Input!$A$21</f>
        <v>2</v>
      </c>
      <c r="C61" s="44">
        <f>IF(B61="", 0, Input!$B$21)</f>
        <v>65</v>
      </c>
      <c r="D61" s="47">
        <f>IF(B61="", 0, (Input!C21/Input!$B$15)*$A$59*Input!$B$15)</f>
        <v>3</v>
      </c>
      <c r="E61" s="44">
        <f t="shared" ref="E61:E69" si="8">IF(C61=0, "", D61/C61)</f>
        <v>4.6153846153846156E-2</v>
      </c>
      <c r="F61" s="44">
        <f>IF(C61=0,"", IF($A$59*Input!D21&lt;=1, 1, $A$59*Input!D21))</f>
        <v>1.4000000000000001</v>
      </c>
      <c r="G61" s="44">
        <f t="shared" ref="G61:G69" si="9">IF(C61=0,"",(1-(1/F61))*D61*(E61/4))</f>
        <v>9.8901098901098931E-3</v>
      </c>
      <c r="I61" s="46"/>
      <c r="J61" s="44">
        <f>_xlfn.VAR.P(G60:G69)</f>
        <v>4.8958449368748744E-3</v>
      </c>
      <c r="L61" s="44"/>
      <c r="M61" s="44">
        <f>M60*AVERAGE(F60:F69)</f>
        <v>0.40415513939393966</v>
      </c>
    </row>
    <row r="62" spans="1:13">
      <c r="B62" s="43">
        <f>Input!$A$22</f>
        <v>3</v>
      </c>
      <c r="C62" s="44">
        <f>IF(B62="", 0, Input!$B$22)</f>
        <v>65</v>
      </c>
      <c r="D62" s="47">
        <f>IF(B62="", 0, (Input!C22/Input!$B$15)*$A$59*Input!$B$15)</f>
        <v>4.0000000000000009</v>
      </c>
      <c r="E62" s="44">
        <f t="shared" si="8"/>
        <v>6.1538461538461549E-2</v>
      </c>
      <c r="F62" s="44">
        <f>IF(C62=0,"", IF($A$59*Input!D22&lt;=1, 1, $A$59*Input!D22))</f>
        <v>8</v>
      </c>
      <c r="G62" s="44">
        <f t="shared" si="9"/>
        <v>5.384615384615387E-2</v>
      </c>
      <c r="I62" s="43" t="s">
        <v>69</v>
      </c>
      <c r="J62" s="44">
        <f>(ABS((J60^2)-(J61/COUNT(G60:G69))))/(J61-J60)</f>
        <v>-5.501523210772153E-2</v>
      </c>
      <c r="L62" s="43" t="s">
        <v>72</v>
      </c>
      <c r="M62" s="44">
        <f>(0.334+(0.689/J62)+(0.408/M61)-(0.507/(J62*M61))-(0.356/(M61^2))+(0.467/(J62*(M61^2))))</f>
        <v>-42.525772771755996</v>
      </c>
    </row>
    <row r="63" spans="1:13">
      <c r="B63" s="43">
        <f>Input!$A$23</f>
        <v>4</v>
      </c>
      <c r="C63" s="44">
        <f>IF(B63="", 0, Input!$B$23)</f>
        <v>50</v>
      </c>
      <c r="D63" s="47">
        <f>IF(B63="", 0, (Input!C23/Input!$B$15)*$A$59*Input!$B$15)</f>
        <v>2.0000000000000004</v>
      </c>
      <c r="E63" s="44">
        <f t="shared" si="8"/>
        <v>4.0000000000000008E-2</v>
      </c>
      <c r="F63" s="44">
        <f>IF(C63=0,"", IF($A$59*Input!D23&lt;=1, 1, $A$59*Input!D23))</f>
        <v>1</v>
      </c>
      <c r="G63" s="44">
        <f t="shared" si="9"/>
        <v>0</v>
      </c>
      <c r="I63" s="43" t="s">
        <v>70</v>
      </c>
      <c r="J63" s="44" t="str">
        <f>IF(J61&gt;J60, "HETEROGENEOUS","HOMOGENEOUS")</f>
        <v>HOMOGENEOUS</v>
      </c>
      <c r="L63" s="44" t="s">
        <v>61</v>
      </c>
      <c r="M63" s="44" t="str">
        <f>IF(M61&lt;=1, "NO OUTBREAK", IF(J63="HETEROGENEOUS",(-LOG(0.1)/LOG(M61))*M62,-LOG(0.1)/LOG(M61)))</f>
        <v>NO OUTBREAK</v>
      </c>
    </row>
    <row r="64" spans="1:13">
      <c r="B64" s="43">
        <f>Input!$A$24</f>
        <v>5</v>
      </c>
      <c r="C64" s="44">
        <f>IF(B64="", 0, Input!$B$24)</f>
        <v>50</v>
      </c>
      <c r="D64" s="47">
        <f>IF(B64="", 0, (Input!C24/Input!$B$15)*$A$59*Input!$B$15)</f>
        <v>4.0000000000000009</v>
      </c>
      <c r="E64" s="44">
        <f t="shared" si="8"/>
        <v>8.0000000000000016E-2</v>
      </c>
      <c r="F64" s="44">
        <f>IF(C64=0,"", IF($A$59*Input!D24&lt;=1, 1, $A$59*Input!D24))</f>
        <v>1</v>
      </c>
      <c r="G64" s="44">
        <f t="shared" si="9"/>
        <v>0</v>
      </c>
      <c r="I64" s="49"/>
      <c r="J64" s="50"/>
      <c r="L64" s="50"/>
      <c r="M64" s="50"/>
    </row>
    <row r="65" spans="2:13">
      <c r="B65" s="43">
        <f>Input!$A$25</f>
        <v>6</v>
      </c>
      <c r="C65" s="44">
        <f>IF(B65="", 0, Input!$B$25)</f>
        <v>100</v>
      </c>
      <c r="D65" s="47">
        <f>IF(B65="", 0, (Input!C25/Input!$B$15)*$A$59*Input!$B$15)</f>
        <v>10</v>
      </c>
      <c r="E65" s="44">
        <f t="shared" si="8"/>
        <v>0.1</v>
      </c>
      <c r="F65" s="44">
        <f>IF(C65=0,"", IF($A$59*Input!D25&lt;=1, 1, $A$59*Input!D25))</f>
        <v>3</v>
      </c>
      <c r="G65" s="44">
        <f t="shared" si="9"/>
        <v>0.16666666666666671</v>
      </c>
      <c r="I65" s="49"/>
      <c r="J65" s="50"/>
      <c r="L65" s="50"/>
      <c r="M65" s="50"/>
    </row>
    <row r="66" spans="2:13">
      <c r="B66" s="43" t="str">
        <f>Input!$A$26</f>
        <v/>
      </c>
      <c r="C66" s="44">
        <f>IF(B66="", 0, Input!$B$26)</f>
        <v>0</v>
      </c>
      <c r="D66" s="47">
        <f>IF(B66="", 0, (Input!C26/Input!$B$15)*$A$59*Input!$B$15)</f>
        <v>0</v>
      </c>
      <c r="E66" s="44" t="str">
        <f t="shared" si="8"/>
        <v/>
      </c>
      <c r="F66" s="44" t="str">
        <f>IF(C66=0,"", IF($A$59*Input!D26&lt;=1, 1, $A$59*Input!D26))</f>
        <v/>
      </c>
      <c r="G66" s="44" t="str">
        <f t="shared" si="9"/>
        <v/>
      </c>
      <c r="I66" s="49"/>
      <c r="J66" s="50"/>
      <c r="L66" s="50"/>
      <c r="M66" s="50"/>
    </row>
    <row r="67" spans="2:13">
      <c r="B67" s="43" t="str">
        <f>Input!$A$27</f>
        <v/>
      </c>
      <c r="C67" s="44">
        <f>IF(B67="", 0, Input!$B$27)</f>
        <v>0</v>
      </c>
      <c r="D67" s="47">
        <f>IF(B67="", 0, (Input!C27/Input!$B$15)*$A$59*Input!$B$15)</f>
        <v>0</v>
      </c>
      <c r="E67" s="44" t="str">
        <f t="shared" si="8"/>
        <v/>
      </c>
      <c r="F67" s="44" t="str">
        <f>IF(C67=0,"", IF($A$59*Input!D27&lt;=1, 1, $A$59*Input!D27))</f>
        <v/>
      </c>
      <c r="G67" s="44" t="str">
        <f t="shared" si="9"/>
        <v/>
      </c>
      <c r="I67" s="49"/>
      <c r="J67" s="50"/>
      <c r="L67" s="50"/>
      <c r="M67" s="50"/>
    </row>
    <row r="68" spans="2:13">
      <c r="B68" s="43" t="str">
        <f>Input!$A$28</f>
        <v/>
      </c>
      <c r="C68" s="44">
        <f>IF(B68="", 0, Input!$B$28)</f>
        <v>0</v>
      </c>
      <c r="D68" s="47">
        <f>IF(B68="", 0, (Input!C28/Input!$B$15)*$A$59*Input!$B$15)</f>
        <v>0</v>
      </c>
      <c r="E68" s="44" t="str">
        <f t="shared" si="8"/>
        <v/>
      </c>
      <c r="F68" s="44" t="str">
        <f>IF(C68=0,"", IF($A$59*Input!D28&lt;=1, 1, $A$59*Input!D28))</f>
        <v/>
      </c>
      <c r="G68" s="44" t="str">
        <f t="shared" si="9"/>
        <v/>
      </c>
      <c r="I68" s="49"/>
      <c r="J68" s="50"/>
      <c r="L68" s="50"/>
      <c r="M68" s="50"/>
    </row>
    <row r="69" spans="2:13">
      <c r="B69" s="43" t="str">
        <f>Input!$A$29</f>
        <v/>
      </c>
      <c r="C69" s="44">
        <f>IF(B69="", 0, Input!$B$29)</f>
        <v>0</v>
      </c>
      <c r="D69" s="47">
        <f>IF(B69="", 0, (Input!C29/Input!$B$15)*$A$59*Input!$B$15)</f>
        <v>0</v>
      </c>
      <c r="E69" s="44" t="str">
        <f t="shared" si="8"/>
        <v/>
      </c>
      <c r="F69" s="44" t="str">
        <f>IF(C69=0,"", IF($A$59*Input!D29&lt;=1, 1, $A$59*Input!D29))</f>
        <v/>
      </c>
      <c r="G69" s="44" t="str">
        <f t="shared" si="9"/>
        <v/>
      </c>
      <c r="I69" s="49"/>
      <c r="J69" s="50"/>
      <c r="L69" s="50"/>
      <c r="M69" s="50"/>
    </row>
  </sheetData>
  <conditionalFormatting sqref="C4:D69">
    <cfRule type="cellIs" dxfId="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Input</vt:lpstr>
      <vt:lpstr>Output</vt:lpstr>
      <vt:lpstr>Decision Guide</vt:lpstr>
      <vt:lpstr>Nature of Work</vt:lpstr>
      <vt:lpstr>Calculation</vt:lpstr>
      <vt:lpstr>R_0</vt:lpstr>
      <vt:lpstr>R_1</vt:lpstr>
      <vt:lpstr>R_2</vt:lpstr>
      <vt:lpstr>R_3</vt:lpstr>
      <vt:lpstr>R_4</vt:lpstr>
      <vt:lpstr>T_0</vt:lpstr>
      <vt:lpstr>T_1</vt:lpstr>
      <vt:lpstr>T_2</vt:lpstr>
      <vt:lpstr>T_3</vt:lpstr>
      <vt:lpstr>T_4</vt:lpstr>
      <vt:lpstr>T_5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Gelo Mara</dc:creator>
  <cp:lastModifiedBy>J Rabajante</cp:lastModifiedBy>
  <dcterms:created xsi:type="dcterms:W3CDTF">2020-04-23T04:14:21Z</dcterms:created>
  <dcterms:modified xsi:type="dcterms:W3CDTF">2020-06-22T17:26:28Z</dcterms:modified>
</cp:coreProperties>
</file>