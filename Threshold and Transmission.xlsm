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marrabajante/Desktop/Files for ZLift/"/>
    </mc:Choice>
  </mc:AlternateContent>
  <xr:revisionPtr revIDLastSave="0" documentId="13_ncr:1_{F185ED92-0DDE-AD4C-A4EB-5B3157FC32B4}" xr6:coauthVersionLast="45" xr6:coauthVersionMax="45" xr10:uidLastSave="{00000000-0000-0000-0000-000000000000}"/>
  <bookViews>
    <workbookView xWindow="0" yWindow="460" windowWidth="24680" windowHeight="14900" activeTab="1" xr2:uid="{744F7E43-8264-4075-A58D-C11E27975CAE}"/>
  </bookViews>
  <sheets>
    <sheet name="Input" sheetId="3" r:id="rId1"/>
    <sheet name="Output" sheetId="1" r:id="rId2"/>
    <sheet name="Nature of Work" sheetId="2" r:id="rId3"/>
    <sheet name="Calculation" sheetId="4" state="hidden" r:id="rId4"/>
  </sheets>
  <definedNames>
    <definedName name="R_0">Calculation!$M$5</definedName>
    <definedName name="R_1">Calculation!$M$19</definedName>
    <definedName name="R_2">Calculation!$M$33</definedName>
    <definedName name="R_3">Calculation!$M$47</definedName>
    <definedName name="R_4">Calculation!$M$61</definedName>
    <definedName name="T_0">Calculation!$M$7</definedName>
    <definedName name="T_1">Calculation!$M$21</definedName>
    <definedName name="T_2">Calculation!$M$35</definedName>
    <definedName name="T_3">Calculation!$M$49</definedName>
    <definedName name="T_4">Calculation!$M$49</definedName>
    <definedName name="T_5">Calculation!$M$63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1" l="1"/>
  <c r="E16" i="3" l="1"/>
  <c r="A22" i="3" l="1"/>
  <c r="A23" i="3" l="1"/>
  <c r="B63" i="4" l="1"/>
  <c r="B49" i="4"/>
  <c r="B35" i="4"/>
  <c r="B7" i="4"/>
  <c r="B21" i="4"/>
  <c r="B24" i="1"/>
  <c r="B25" i="1" s="1"/>
  <c r="F4" i="1"/>
  <c r="E4" i="1"/>
  <c r="D4" i="1"/>
  <c r="A29" i="3"/>
  <c r="A28" i="3"/>
  <c r="A27" i="3"/>
  <c r="A26" i="3"/>
  <c r="A25" i="3"/>
  <c r="A24" i="3"/>
  <c r="A21" i="3"/>
  <c r="A20" i="3"/>
  <c r="F18" i="3"/>
  <c r="B26" i="1" l="1"/>
  <c r="B27" i="1"/>
  <c r="C4" i="1"/>
  <c r="M18" i="4"/>
  <c r="M32" i="4"/>
  <c r="M4" i="4"/>
  <c r="M60" i="4"/>
  <c r="M46" i="4"/>
  <c r="B28" i="1"/>
  <c r="B46" i="4"/>
  <c r="B18" i="4"/>
  <c r="B4" i="4"/>
  <c r="B60" i="4"/>
  <c r="B32" i="4"/>
  <c r="B62" i="4"/>
  <c r="B34" i="4"/>
  <c r="B20" i="4"/>
  <c r="B6" i="4"/>
  <c r="B48" i="4"/>
  <c r="B65" i="4"/>
  <c r="B51" i="4"/>
  <c r="B37" i="4"/>
  <c r="B23" i="4"/>
  <c r="B9" i="4"/>
  <c r="B67" i="4"/>
  <c r="B53" i="4"/>
  <c r="B39" i="4"/>
  <c r="B25" i="4"/>
  <c r="B11" i="4"/>
  <c r="B69" i="4"/>
  <c r="B55" i="4"/>
  <c r="B41" i="4"/>
  <c r="B27" i="4"/>
  <c r="B13" i="4"/>
  <c r="D7" i="4"/>
  <c r="C7" i="4"/>
  <c r="C49" i="4"/>
  <c r="D49" i="4"/>
  <c r="B61" i="4"/>
  <c r="B47" i="4"/>
  <c r="B33" i="4"/>
  <c r="B19" i="4"/>
  <c r="B5" i="4"/>
  <c r="B50" i="4"/>
  <c r="B22" i="4"/>
  <c r="B8" i="4"/>
  <c r="B64" i="4"/>
  <c r="B36" i="4"/>
  <c r="B66" i="4"/>
  <c r="B38" i="4"/>
  <c r="B24" i="4"/>
  <c r="B10" i="4"/>
  <c r="B52" i="4"/>
  <c r="B54" i="4"/>
  <c r="B26" i="4"/>
  <c r="B12" i="4"/>
  <c r="B68" i="4"/>
  <c r="B40" i="4"/>
  <c r="D21" i="4"/>
  <c r="C21" i="4"/>
  <c r="C35" i="4"/>
  <c r="D35" i="4"/>
  <c r="C63" i="4"/>
  <c r="D63" i="4"/>
  <c r="F63" i="4" l="1"/>
  <c r="E63" i="4"/>
  <c r="F35" i="4"/>
  <c r="E35" i="4"/>
  <c r="C68" i="4"/>
  <c r="D68" i="4"/>
  <c r="D26" i="4"/>
  <c r="C26" i="4"/>
  <c r="C52" i="4"/>
  <c r="D52" i="4"/>
  <c r="D24" i="4"/>
  <c r="C24" i="4"/>
  <c r="C66" i="4"/>
  <c r="D66" i="4"/>
  <c r="C64" i="4"/>
  <c r="D64" i="4"/>
  <c r="D22" i="4"/>
  <c r="C22" i="4"/>
  <c r="D5" i="4"/>
  <c r="C5" i="4"/>
  <c r="C33" i="4"/>
  <c r="D33" i="4"/>
  <c r="C61" i="4"/>
  <c r="D61" i="4"/>
  <c r="E49" i="4"/>
  <c r="F49" i="4"/>
  <c r="C27" i="4"/>
  <c r="D27" i="4"/>
  <c r="C55" i="4"/>
  <c r="D55" i="4"/>
  <c r="D11" i="4"/>
  <c r="C11" i="4"/>
  <c r="C39" i="4"/>
  <c r="D39" i="4"/>
  <c r="C67" i="4"/>
  <c r="D67" i="4"/>
  <c r="C23" i="4"/>
  <c r="D23" i="4"/>
  <c r="C51" i="4"/>
  <c r="D51" i="4"/>
  <c r="C48" i="4"/>
  <c r="D48" i="4"/>
  <c r="D20" i="4"/>
  <c r="C20" i="4"/>
  <c r="C62" i="4"/>
  <c r="D62" i="4"/>
  <c r="C60" i="4"/>
  <c r="D60" i="4"/>
  <c r="D18" i="4"/>
  <c r="C18" i="4"/>
  <c r="E21" i="4"/>
  <c r="F21" i="4"/>
  <c r="G21" i="4" s="1"/>
  <c r="C40" i="4"/>
  <c r="D40" i="4"/>
  <c r="D12" i="4"/>
  <c r="C12" i="4"/>
  <c r="G12" i="4" s="1"/>
  <c r="C54" i="4"/>
  <c r="D54" i="4"/>
  <c r="D10" i="4"/>
  <c r="C10" i="4"/>
  <c r="F10" i="4" s="1"/>
  <c r="C38" i="4"/>
  <c r="D38" i="4"/>
  <c r="C36" i="4"/>
  <c r="D36" i="4"/>
  <c r="D8" i="4"/>
  <c r="C8" i="4"/>
  <c r="F8" i="4" s="1"/>
  <c r="C50" i="4"/>
  <c r="D50" i="4"/>
  <c r="D19" i="4"/>
  <c r="C19" i="4"/>
  <c r="C47" i="4"/>
  <c r="D47" i="4"/>
  <c r="E7" i="4"/>
  <c r="F7" i="4"/>
  <c r="D13" i="4"/>
  <c r="C13" i="4"/>
  <c r="E13" i="4" s="1"/>
  <c r="C41" i="4"/>
  <c r="D41" i="4"/>
  <c r="C69" i="4"/>
  <c r="D69" i="4"/>
  <c r="C25" i="4"/>
  <c r="D25" i="4"/>
  <c r="C53" i="4"/>
  <c r="D53" i="4"/>
  <c r="D9" i="4"/>
  <c r="C9" i="4"/>
  <c r="F9" i="4" s="1"/>
  <c r="C37" i="4"/>
  <c r="D37" i="4"/>
  <c r="C65" i="4"/>
  <c r="D65" i="4"/>
  <c r="D6" i="4"/>
  <c r="C6" i="4"/>
  <c r="F6" i="4" s="1"/>
  <c r="C34" i="4"/>
  <c r="D34" i="4"/>
  <c r="C32" i="4"/>
  <c r="D32" i="4"/>
  <c r="D4" i="4"/>
  <c r="C4" i="4"/>
  <c r="C46" i="4"/>
  <c r="D46" i="4"/>
  <c r="G7" i="4" l="1"/>
  <c r="F13" i="4"/>
  <c r="F12" i="4"/>
  <c r="G13" i="4"/>
  <c r="G49" i="4"/>
  <c r="E11" i="4"/>
  <c r="E5" i="4"/>
  <c r="F11" i="4"/>
  <c r="E9" i="4"/>
  <c r="G9" i="4" s="1"/>
  <c r="G35" i="4"/>
  <c r="E6" i="4"/>
  <c r="F5" i="4"/>
  <c r="G63" i="4"/>
  <c r="E10" i="4"/>
  <c r="G10" i="4" s="1"/>
  <c r="E8" i="4"/>
  <c r="G8" i="4" s="1"/>
  <c r="F46" i="4"/>
  <c r="E46" i="4"/>
  <c r="F32" i="4"/>
  <c r="E32" i="4"/>
  <c r="E34" i="4"/>
  <c r="F34" i="4"/>
  <c r="F65" i="4"/>
  <c r="E65" i="4"/>
  <c r="F37" i="4"/>
  <c r="E37" i="4"/>
  <c r="F53" i="4"/>
  <c r="G53" i="4" s="1"/>
  <c r="E53" i="4"/>
  <c r="F25" i="4"/>
  <c r="E25" i="4"/>
  <c r="E69" i="4"/>
  <c r="G69" i="4"/>
  <c r="F69" i="4"/>
  <c r="E41" i="4"/>
  <c r="F41" i="4"/>
  <c r="G41" i="4"/>
  <c r="E19" i="4"/>
  <c r="F19" i="4"/>
  <c r="F60" i="4"/>
  <c r="E60" i="4"/>
  <c r="E62" i="4"/>
  <c r="F62" i="4"/>
  <c r="F48" i="4"/>
  <c r="E48" i="4"/>
  <c r="E51" i="4"/>
  <c r="F51" i="4"/>
  <c r="E23" i="4"/>
  <c r="F23" i="4"/>
  <c r="G23" i="4" s="1"/>
  <c r="E67" i="4"/>
  <c r="F67" i="4"/>
  <c r="G67" i="4" s="1"/>
  <c r="E39" i="4"/>
  <c r="F39" i="4"/>
  <c r="G55" i="4"/>
  <c r="F55" i="4"/>
  <c r="E55" i="4"/>
  <c r="F27" i="4"/>
  <c r="G27" i="4"/>
  <c r="E27" i="4"/>
  <c r="F22" i="4"/>
  <c r="E22" i="4"/>
  <c r="E24" i="4"/>
  <c r="F24" i="4"/>
  <c r="G26" i="4"/>
  <c r="E26" i="4"/>
  <c r="F26" i="4"/>
  <c r="E12" i="4"/>
  <c r="E4" i="4"/>
  <c r="F4" i="4"/>
  <c r="M5" i="4" s="1"/>
  <c r="I24" i="1" s="1"/>
  <c r="E47" i="4"/>
  <c r="F47" i="4"/>
  <c r="F50" i="4"/>
  <c r="E50" i="4"/>
  <c r="E36" i="4"/>
  <c r="F36" i="4"/>
  <c r="F38" i="4"/>
  <c r="G38" i="4" s="1"/>
  <c r="E38" i="4"/>
  <c r="E54" i="4"/>
  <c r="G54" i="4"/>
  <c r="F54" i="4"/>
  <c r="G40" i="4"/>
  <c r="F40" i="4"/>
  <c r="E40" i="4"/>
  <c r="F18" i="4"/>
  <c r="E18" i="4"/>
  <c r="F20" i="4"/>
  <c r="E20" i="4"/>
  <c r="F61" i="4"/>
  <c r="E61" i="4"/>
  <c r="F33" i="4"/>
  <c r="E33" i="4"/>
  <c r="E64" i="4"/>
  <c r="F64" i="4"/>
  <c r="F66" i="4"/>
  <c r="E66" i="4"/>
  <c r="G66" i="4" s="1"/>
  <c r="F52" i="4"/>
  <c r="E52" i="4"/>
  <c r="G68" i="4"/>
  <c r="F68" i="4"/>
  <c r="E68" i="4"/>
  <c r="G32" i="4"/>
  <c r="G6" i="4"/>
  <c r="G64" i="4" l="1"/>
  <c r="G5" i="4"/>
  <c r="G36" i="4"/>
  <c r="G52" i="4"/>
  <c r="G25" i="4"/>
  <c r="G11" i="4"/>
  <c r="G37" i="4"/>
  <c r="G65" i="4"/>
  <c r="G22" i="4"/>
  <c r="G24" i="4"/>
  <c r="G50" i="4"/>
  <c r="G39" i="4"/>
  <c r="G51" i="4"/>
  <c r="G33" i="4"/>
  <c r="G48" i="4"/>
  <c r="G62" i="4"/>
  <c r="G34" i="4"/>
  <c r="G46" i="4"/>
  <c r="G61" i="4"/>
  <c r="G20" i="4"/>
  <c r="G47" i="4"/>
  <c r="G60" i="4"/>
  <c r="G19" i="4"/>
  <c r="M19" i="4"/>
  <c r="I25" i="1" s="1"/>
  <c r="G18" i="4"/>
  <c r="G4" i="4"/>
  <c r="M61" i="4"/>
  <c r="I28" i="1" s="1"/>
  <c r="M33" i="4"/>
  <c r="I26" i="1" s="1"/>
  <c r="M47" i="4"/>
  <c r="I27" i="1" s="1"/>
  <c r="J47" i="4" l="1"/>
  <c r="J32" i="4"/>
  <c r="J46" i="4"/>
  <c r="J60" i="4"/>
  <c r="J33" i="4"/>
  <c r="J61" i="4"/>
  <c r="J19" i="4"/>
  <c r="J18" i="4"/>
  <c r="J5" i="4"/>
  <c r="J4" i="4"/>
  <c r="M63" i="4"/>
  <c r="E28" i="1" s="1"/>
  <c r="J48" i="4" l="1"/>
  <c r="M48" i="4" s="1"/>
  <c r="J35" i="4"/>
  <c r="J63" i="4"/>
  <c r="J34" i="4"/>
  <c r="M34" i="4" s="1"/>
  <c r="J62" i="4"/>
  <c r="M62" i="4" s="1"/>
  <c r="J49" i="4"/>
  <c r="M49" i="4" s="1"/>
  <c r="E27" i="1" s="1"/>
  <c r="J6" i="4"/>
  <c r="M6" i="4" s="1"/>
  <c r="J20" i="4"/>
  <c r="M20" i="4" s="1"/>
  <c r="J7" i="4"/>
  <c r="J21" i="4"/>
  <c r="M35" i="4" l="1"/>
  <c r="E26" i="1" s="1"/>
  <c r="M7" i="4"/>
  <c r="E24" i="1" s="1"/>
  <c r="M21" i="4"/>
  <c r="E25" i="1" s="1"/>
</calcChain>
</file>

<file path=xl/sharedStrings.xml><?xml version="1.0" encoding="utf-8"?>
<sst xmlns="http://schemas.openxmlformats.org/spreadsheetml/2006/main" count="171" uniqueCount="108">
  <si>
    <t>Variables</t>
  </si>
  <si>
    <t>Total</t>
  </si>
  <si>
    <t>Employee</t>
  </si>
  <si>
    <t>Protection Measures</t>
  </si>
  <si>
    <t>Regular Sanitizing</t>
  </si>
  <si>
    <t>Face Mask</t>
  </si>
  <si>
    <t>Avoiding Crowded Places</t>
  </si>
  <si>
    <t>Measure</t>
  </si>
  <si>
    <t>theta</t>
  </si>
  <si>
    <t>Probability*</t>
  </si>
  <si>
    <t>*probability of committing to the measure (may vary)</t>
  </si>
  <si>
    <t>after 5 days</t>
  </si>
  <si>
    <t>after 10 days</t>
  </si>
  <si>
    <t>after 15 days</t>
  </si>
  <si>
    <t>after 20 days</t>
  </si>
  <si>
    <t>after 25 days</t>
  </si>
  <si>
    <t>after 30 days</t>
  </si>
  <si>
    <t>Expected Total Number of Infected</t>
  </si>
  <si>
    <t>Minimum</t>
  </si>
  <si>
    <t>Maximum</t>
  </si>
  <si>
    <t>Simulation Status</t>
  </si>
  <si>
    <t>DONE</t>
  </si>
  <si>
    <t>Max Simulation</t>
  </si>
  <si>
    <t xml:space="preserve"> </t>
  </si>
  <si>
    <t>Probability of becoming Infected (with deviations at around 5%)</t>
  </si>
  <si>
    <t>Low Risk</t>
  </si>
  <si>
    <t>High Risk</t>
  </si>
  <si>
    <t>INPUTS:</t>
  </si>
  <si>
    <t>Description</t>
  </si>
  <si>
    <t>Average number of interactions</t>
  </si>
  <si>
    <t>OUTPUT:</t>
  </si>
  <si>
    <t>THRESHOLD</t>
  </si>
  <si>
    <t>Low risk employees</t>
  </si>
  <si>
    <t>High risk employees</t>
  </si>
  <si>
    <t>The area (in square meters) of each office type</t>
  </si>
  <si>
    <t>Industrial Sector</t>
  </si>
  <si>
    <t>Average Risk Score</t>
  </si>
  <si>
    <t>Accommodation and Food Service Activities</t>
  </si>
  <si>
    <t>Activities of Households as Employers; Undifferentiated Goods-and Services-producing Activities of Households for Own Use</t>
  </si>
  <si>
    <t>Administrative and Support Service Activities</t>
  </si>
  <si>
    <t>Agriculture, Forestry and Fishing</t>
  </si>
  <si>
    <t>Arts, Entertainment and Recreation</t>
  </si>
  <si>
    <t>Construction</t>
  </si>
  <si>
    <t>Education</t>
  </si>
  <si>
    <t>Electricity, Gas, Steam and Air Conditioning Supply</t>
  </si>
  <si>
    <t>Financial  and Insurance Activities</t>
  </si>
  <si>
    <t>Human Health and Social Work Activities</t>
  </si>
  <si>
    <t>Information and Communication</t>
  </si>
  <si>
    <t>Manufacturing</t>
  </si>
  <si>
    <t>Mining and Quarrying</t>
  </si>
  <si>
    <t>Other Service Activities</t>
  </si>
  <si>
    <t>Professional, Scientific and Technical Activities</t>
  </si>
  <si>
    <t>Public Administration and Defense; Compulsory Social Security</t>
  </si>
  <si>
    <t>Real Estate Activities</t>
  </si>
  <si>
    <t>Transportation  and  storage</t>
  </si>
  <si>
    <t>Water Supply; Sewerage, Waste Management and Remediation Activities</t>
  </si>
  <si>
    <t>Wholesale and Retail Trade; Repair of Motor Vehicles and Motorcycles</t>
  </si>
  <si>
    <t>TRANMISSION</t>
  </si>
  <si>
    <t>TOTAL NUMBER OF EMPLOYEES</t>
  </si>
  <si>
    <t>NUMBER OF OFFICE TYPES/FLOORS</t>
  </si>
  <si>
    <t>OFFICE TYPE/FLOOR</t>
  </si>
  <si>
    <t>No. of 
Employees</t>
  </si>
  <si>
    <t>Floor Area (in sq. m.)</t>
  </si>
  <si>
    <t>Average number 
of interactions*</t>
  </si>
  <si>
    <t>90% Probability of an Outbreak</t>
  </si>
  <si>
    <t>Threshold</t>
  </si>
  <si>
    <t>Computed R_0</t>
  </si>
  <si>
    <t>OFFICE TYPE/
FLOOR</t>
  </si>
  <si>
    <t>FLOOR AREA</t>
  </si>
  <si>
    <t>NUMBER OF
EMPLOYEES</t>
  </si>
  <si>
    <t>DENSITY</t>
  </si>
  <si>
    <t>AVERAGE
INTERACTION</t>
  </si>
  <si>
    <t>PROJECTED NUMBER OF 
INFECTED INDIVIDUALS</t>
  </si>
  <si>
    <t>µ</t>
  </si>
  <si>
    <t>dispersion</t>
  </si>
  <si>
    <t>Assumption</t>
  </si>
  <si>
    <t>RISK</t>
  </si>
  <si>
    <t>Multiplier</t>
  </si>
  <si>
    <t>* Average number of interactions is the number of physical interaction among employees within offices/floors.</t>
  </si>
  <si>
    <t>Institute of Mathematical Sciences and Physics</t>
  </si>
  <si>
    <t>Floor area</t>
  </si>
  <si>
    <t>No. of employees per floor</t>
  </si>
  <si>
    <t>Estimated number of employees per office type</t>
  </si>
  <si>
    <t>Daily average number of people that one employee interacts with inside the company (minimum of 1)</t>
  </si>
  <si>
    <t>This is the number of employees that do not have interaction from the outside during office hours (back office)</t>
  </si>
  <si>
    <t>These are highly vulnerable to be infected due to the nature of their jobs (front desk officers)</t>
  </si>
  <si>
    <t>This is somewhere in between low risk employees and high risk employees</t>
  </si>
  <si>
    <t>The number of infected employees that will result in a 90% probability of outbreak in the company</t>
  </si>
  <si>
    <t>Expected number or percentage of employees infected after 5, 10, 15, …, 30 days</t>
  </si>
  <si>
    <t>AVERAGE RISK (based on nature of work)</t>
  </si>
  <si>
    <t>Average risk value of employees based on the nature of work (use Job Risk Profiling Calculator)</t>
  </si>
  <si>
    <t>AVERAGE RISK (dropdown)</t>
  </si>
  <si>
    <t>University of the Philippines Los Baños</t>
  </si>
  <si>
    <t>If you have queries, please send an email to: jbmamplata@up.edu.ph; jfrabajante@up.edu.ph</t>
  </si>
  <si>
    <t>WORKPLACE COVID-19 OUTBREAK THRESHOLD 
AND TRANSMISSION MICROSIMULATION</t>
  </si>
  <si>
    <t>UP COVID-19 Pandemic Response Team</t>
  </si>
  <si>
    <t>Low-risk population</t>
  </si>
  <si>
    <t>Moderate-risk population</t>
  </si>
  <si>
    <t>Moderate Risk</t>
  </si>
  <si>
    <t>*Low risk employees do not have interaction from outside during office hours (back office employees)  
*High risk employees are highly vulnerable to be infected due to their nature of jobs (e.g. front desk officers) 
*Moderate risk employees are somewhere in between low risk and high risk</t>
  </si>
  <si>
    <t>Moderate risk employees</t>
  </si>
  <si>
    <t>High-risk population</t>
  </si>
  <si>
    <t>TRANSMISSION MICROSIMULATION IF OUTBREAK IS NOT CONTAINED</t>
  </si>
  <si>
    <t>Physical Distance
(in meters)</t>
  </si>
  <si>
    <t>Please click the button</t>
  </si>
  <si>
    <t>Number of employees allowed to physically work in the office</t>
  </si>
  <si>
    <t>Threshold*</t>
  </si>
  <si>
    <t>*Outbreak threshold is the number of infected individuals that can start an outbreak with 90% probability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</si>
</sst>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i/>
      <sz val="11"/>
      <color theme="2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36"/>
      <color theme="4" tint="-0.249977111117893"/>
      <name val="Calibri"/>
      <family val="2"/>
      <scheme val="minor"/>
    </font>
    <font>
      <sz val="18"/>
      <color theme="8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BFEFF"/>
        <bgColor indexed="64"/>
      </patternFill>
    </fill>
    <fill>
      <patternFill patternType="solid">
        <fgColor rgb="FFB9FCFF"/>
        <bgColor indexed="64"/>
      </patternFill>
    </fill>
    <fill>
      <patternFill patternType="solid">
        <fgColor rgb="FF91FAFF"/>
        <bgColor indexed="64"/>
      </patternFill>
    </fill>
    <fill>
      <patternFill patternType="solid">
        <fgColor rgb="FF69F8FF"/>
        <bgColor indexed="64"/>
      </patternFill>
    </fill>
    <fill>
      <patternFill patternType="solid">
        <fgColor rgb="FF00E5F0"/>
        <bgColor indexed="64"/>
      </patternFill>
    </fill>
    <fill>
      <patternFill patternType="solid">
        <fgColor rgb="FF00AB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</fills>
  <borders count="8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uble">
        <color rgb="FF00B0F0"/>
      </right>
      <top style="thin">
        <color theme="4"/>
      </top>
      <bottom style="double">
        <color theme="4"/>
      </bottom>
      <diagonal/>
    </border>
    <border>
      <left/>
      <right/>
      <top/>
      <bottom style="double">
        <color theme="4"/>
      </bottom>
      <diagonal/>
    </border>
    <border>
      <left/>
      <right style="double">
        <color rgb="FF00B0F0"/>
      </right>
      <top/>
      <bottom style="double">
        <color theme="4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/>
      <bottom/>
      <diagonal/>
    </border>
    <border>
      <left style="double">
        <color rgb="FF00B0F0"/>
      </left>
      <right style="double">
        <color rgb="FF00B0F0"/>
      </right>
      <top style="medium">
        <color rgb="FF00B0F0"/>
      </top>
      <bottom style="medium">
        <color rgb="FF00B0F0"/>
      </bottom>
      <diagonal/>
    </border>
    <border>
      <left style="double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/>
      <right style="double">
        <color rgb="FF00B0F0"/>
      </right>
      <top style="medium">
        <color rgb="FF00B0F0"/>
      </top>
      <bottom style="medium">
        <color rgb="FF00B0F0"/>
      </bottom>
      <diagonal/>
    </border>
    <border>
      <left/>
      <right style="double">
        <color rgb="FF00B0F0"/>
      </right>
      <top/>
      <bottom/>
      <diagonal/>
    </border>
    <border>
      <left style="medium">
        <color rgb="FF00B0F0"/>
      </left>
      <right/>
      <top style="medium">
        <color rgb="FF00B0F0"/>
      </top>
      <bottom/>
      <diagonal/>
    </border>
    <border>
      <left/>
      <right style="medium">
        <color rgb="FF00B0F0"/>
      </right>
      <top style="medium">
        <color rgb="FF00B0F0"/>
      </top>
      <bottom/>
      <diagonal/>
    </border>
    <border>
      <left style="medium">
        <color rgb="FF00B0F0"/>
      </left>
      <right/>
      <top/>
      <bottom/>
      <diagonal/>
    </border>
    <border>
      <left/>
      <right style="medium">
        <color rgb="FF00B0F0"/>
      </right>
      <top/>
      <bottom/>
      <diagonal/>
    </border>
    <border>
      <left style="medium">
        <color rgb="FF00B0F0"/>
      </left>
      <right/>
      <top/>
      <bottom style="medium">
        <color rgb="FF00B0F0"/>
      </bottom>
      <diagonal/>
    </border>
    <border>
      <left/>
      <right style="medium">
        <color rgb="FF00B0F0"/>
      </right>
      <top/>
      <bottom style="medium">
        <color rgb="FF00B0F0"/>
      </bottom>
      <diagonal/>
    </border>
    <border>
      <left style="double">
        <color rgb="FF00B0F0"/>
      </left>
      <right/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/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/>
      <top style="thin">
        <color indexed="64"/>
      </top>
      <bottom style="thin">
        <color theme="1"/>
      </bottom>
      <diagonal/>
    </border>
    <border>
      <left/>
      <right/>
      <top style="thin">
        <color theme="1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00B0F0"/>
      </top>
      <bottom/>
      <diagonal/>
    </border>
    <border>
      <left/>
      <right/>
      <top/>
      <bottom style="medium">
        <color rgb="FF00B0F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C00000"/>
      </right>
      <top style="thin">
        <color indexed="64"/>
      </top>
      <bottom style="thin">
        <color indexed="64"/>
      </bottom>
      <diagonal/>
    </border>
    <border>
      <left style="medium">
        <color rgb="FFC00000"/>
      </left>
      <right style="thin">
        <color indexed="64"/>
      </right>
      <top style="thin">
        <color indexed="64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C00000"/>
      </bottom>
      <diagonal/>
    </border>
    <border>
      <left style="thin">
        <color indexed="64"/>
      </left>
      <right style="medium">
        <color rgb="FFC00000"/>
      </right>
      <top style="thin">
        <color indexed="64"/>
      </top>
      <bottom style="medium">
        <color rgb="FFC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3" applyNumberFormat="0" applyFill="0" applyAlignment="0" applyProtection="0"/>
    <xf numFmtId="0" fontId="8" fillId="0" borderId="0">
      <alignment horizontal="center" vertical="center" wrapText="1"/>
    </xf>
  </cellStyleXfs>
  <cellXfs count="209">
    <xf numFmtId="0" fontId="0" fillId="0" borderId="0" xfId="0"/>
    <xf numFmtId="0" fontId="0" fillId="0" borderId="0" xfId="0" applyAlignment="1">
      <alignment horizontal="center" vertical="center"/>
    </xf>
    <xf numFmtId="9" fontId="0" fillId="12" borderId="1" xfId="0" applyNumberFormat="1" applyFill="1" applyBorder="1" applyAlignment="1">
      <alignment horizontal="center" vertical="center"/>
    </xf>
    <xf numFmtId="9" fontId="0" fillId="12" borderId="2" xfId="0" applyNumberFormat="1" applyFill="1" applyBorder="1" applyAlignment="1">
      <alignment horizontal="center" vertical="center"/>
    </xf>
    <xf numFmtId="0" fontId="2" fillId="12" borderId="6" xfId="1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2" fontId="0" fillId="12" borderId="11" xfId="0" applyNumberFormat="1" applyFill="1" applyBorder="1" applyAlignment="1" applyProtection="1">
      <alignment horizontal="center" vertical="center"/>
      <protection hidden="1"/>
    </xf>
    <xf numFmtId="0" fontId="0" fillId="12" borderId="12" xfId="0" applyFill="1" applyBorder="1" applyAlignment="1">
      <alignment horizontal="center" vertical="center"/>
    </xf>
    <xf numFmtId="0" fontId="4" fillId="12" borderId="17" xfId="0" applyFont="1" applyFill="1" applyBorder="1" applyAlignment="1">
      <alignment horizontal="center" vertical="center" wrapText="1"/>
    </xf>
    <xf numFmtId="0" fontId="4" fillId="12" borderId="13" xfId="0" applyFont="1" applyFill="1" applyBorder="1" applyAlignment="1">
      <alignment horizontal="center" vertical="center" wrapText="1"/>
    </xf>
    <xf numFmtId="0" fontId="4" fillId="12" borderId="24" xfId="0" applyFont="1" applyFill="1" applyBorder="1" applyAlignment="1">
      <alignment horizontal="center" vertical="center"/>
    </xf>
    <xf numFmtId="0" fontId="4" fillId="12" borderId="0" xfId="0" applyFont="1" applyFill="1" applyBorder="1" applyAlignment="1">
      <alignment horizontal="center" vertical="center"/>
    </xf>
    <xf numFmtId="0" fontId="4" fillId="12" borderId="17" xfId="0" applyFont="1" applyFill="1" applyBorder="1" applyAlignment="1">
      <alignment horizontal="center" vertical="center"/>
    </xf>
    <xf numFmtId="9" fontId="2" fillId="12" borderId="4" xfId="1" applyNumberFormat="1" applyFill="1" applyBorder="1" applyAlignment="1">
      <alignment horizontal="center" vertical="center"/>
    </xf>
    <xf numFmtId="0" fontId="2" fillId="12" borderId="30" xfId="0" applyFont="1" applyFill="1" applyBorder="1" applyAlignment="1">
      <alignment horizontal="center" vertical="center"/>
    </xf>
    <xf numFmtId="0" fontId="0" fillId="12" borderId="31" xfId="0" applyFill="1" applyBorder="1" applyAlignment="1">
      <alignment horizontal="center" vertical="center"/>
    </xf>
    <xf numFmtId="0" fontId="0" fillId="12" borderId="32" xfId="0" applyFill="1" applyBorder="1" applyAlignment="1">
      <alignment horizontal="center" vertical="center"/>
    </xf>
    <xf numFmtId="0" fontId="0" fillId="12" borderId="33" xfId="0" applyFill="1" applyBorder="1" applyAlignment="1">
      <alignment horizontal="center" vertical="center"/>
    </xf>
    <xf numFmtId="0" fontId="0" fillId="12" borderId="34" xfId="0" applyFill="1" applyBorder="1" applyAlignment="1">
      <alignment horizontal="center" vertical="center"/>
    </xf>
    <xf numFmtId="0" fontId="0" fillId="12" borderId="35" xfId="0" applyFill="1" applyBorder="1" applyAlignment="1">
      <alignment horizontal="center" vertical="center"/>
    </xf>
    <xf numFmtId="0" fontId="9" fillId="6" borderId="27" xfId="0" applyFont="1" applyFill="1" applyBorder="1" applyAlignment="1">
      <alignment horizontal="center" vertical="center" wrapText="1"/>
    </xf>
    <xf numFmtId="0" fontId="9" fillId="7" borderId="28" xfId="0" applyFont="1" applyFill="1" applyBorder="1" applyAlignment="1">
      <alignment horizontal="center" vertical="center" wrapText="1"/>
    </xf>
    <xf numFmtId="0" fontId="9" fillId="8" borderId="28" xfId="0" applyFont="1" applyFill="1" applyBorder="1" applyAlignment="1">
      <alignment horizontal="center" vertical="center" wrapText="1"/>
    </xf>
    <xf numFmtId="0" fontId="9" fillId="9" borderId="28" xfId="0" applyFont="1" applyFill="1" applyBorder="1" applyAlignment="1">
      <alignment horizontal="center" vertical="center" wrapText="1"/>
    </xf>
    <xf numFmtId="0" fontId="9" fillId="10" borderId="28" xfId="0" applyFont="1" applyFill="1" applyBorder="1" applyAlignment="1">
      <alignment horizontal="center" vertical="center" wrapText="1"/>
    </xf>
    <xf numFmtId="0" fontId="9" fillId="11" borderId="29" xfId="0" applyFont="1" applyFill="1" applyBorder="1" applyAlignment="1">
      <alignment horizontal="center" vertical="center" wrapText="1"/>
    </xf>
    <xf numFmtId="9" fontId="0" fillId="12" borderId="36" xfId="0" applyNumberFormat="1" applyFill="1" applyBorder="1" applyAlignment="1">
      <alignment horizontal="center" vertical="center"/>
    </xf>
    <xf numFmtId="9" fontId="0" fillId="12" borderId="37" xfId="0" applyNumberFormat="1" applyFill="1" applyBorder="1" applyAlignment="1">
      <alignment horizontal="center" vertical="center"/>
    </xf>
    <xf numFmtId="9" fontId="0" fillId="12" borderId="38" xfId="0" applyNumberFormat="1" applyFill="1" applyBorder="1" applyAlignment="1">
      <alignment horizontal="center" vertical="center"/>
    </xf>
    <xf numFmtId="9" fontId="0" fillId="12" borderId="39" xfId="0" applyNumberFormat="1" applyFill="1" applyBorder="1" applyAlignment="1">
      <alignment horizontal="center" vertical="center"/>
    </xf>
    <xf numFmtId="9" fontId="0" fillId="12" borderId="40" xfId="0" applyNumberFormat="1" applyFill="1" applyBorder="1" applyAlignment="1">
      <alignment horizontal="center" vertical="center"/>
    </xf>
    <xf numFmtId="9" fontId="0" fillId="12" borderId="41" xfId="0" applyNumberFormat="1" applyFill="1" applyBorder="1" applyAlignment="1">
      <alignment horizontal="center" vertical="center"/>
    </xf>
    <xf numFmtId="0" fontId="6" fillId="12" borderId="34" xfId="0" applyFont="1" applyFill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9" fillId="6" borderId="33" xfId="0" applyFont="1" applyFill="1" applyBorder="1" applyAlignment="1">
      <alignment horizontal="center" vertical="center" wrapText="1"/>
    </xf>
    <xf numFmtId="9" fontId="0" fillId="12" borderId="42" xfId="0" applyNumberFormat="1" applyFill="1" applyBorder="1" applyAlignment="1">
      <alignment horizontal="center" vertical="center"/>
    </xf>
    <xf numFmtId="0" fontId="6" fillId="12" borderId="43" xfId="0" applyFont="1" applyFill="1" applyBorder="1" applyAlignment="1">
      <alignment horizontal="center" vertical="center"/>
    </xf>
    <xf numFmtId="0" fontId="2" fillId="12" borderId="0" xfId="0" applyFont="1" applyFill="1" applyBorder="1" applyAlignment="1">
      <alignment vertical="center"/>
    </xf>
    <xf numFmtId="0" fontId="2" fillId="12" borderId="0" xfId="0" applyFont="1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2" fillId="12" borderId="25" xfId="0" applyFont="1" applyFill="1" applyBorder="1" applyAlignment="1">
      <alignment horizontal="center" vertical="center" wrapText="1"/>
    </xf>
    <xf numFmtId="0" fontId="0" fillId="12" borderId="26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 wrapText="1"/>
    </xf>
    <xf numFmtId="0" fontId="7" fillId="12" borderId="0" xfId="1" applyFont="1" applyFill="1" applyBorder="1" applyAlignment="1">
      <alignment horizontal="left" vertical="center" wrapText="1"/>
    </xf>
    <xf numFmtId="0" fontId="0" fillId="12" borderId="17" xfId="0" applyNumberFormat="1" applyFont="1" applyFill="1" applyBorder="1" applyAlignment="1">
      <alignment horizontal="center" vertical="center" wrapText="1"/>
    </xf>
    <xf numFmtId="0" fontId="0" fillId="12" borderId="13" xfId="0" applyNumberFormat="1" applyFont="1" applyFill="1" applyBorder="1" applyAlignment="1">
      <alignment horizontal="center" vertical="center" wrapText="1"/>
    </xf>
    <xf numFmtId="0" fontId="2" fillId="14" borderId="54" xfId="0" applyFont="1" applyFill="1" applyBorder="1"/>
    <xf numFmtId="0" fontId="2" fillId="5" borderId="55" xfId="0" applyFont="1" applyFill="1" applyBorder="1"/>
    <xf numFmtId="0" fontId="0" fillId="14" borderId="56" xfId="0" applyFill="1" applyBorder="1"/>
    <xf numFmtId="0" fontId="0" fillId="5" borderId="57" xfId="0" applyFill="1" applyBorder="1"/>
    <xf numFmtId="0" fontId="0" fillId="14" borderId="58" xfId="0" applyFill="1" applyBorder="1"/>
    <xf numFmtId="0" fontId="0" fillId="5" borderId="59" xfId="0" applyFill="1" applyBorder="1"/>
    <xf numFmtId="0" fontId="0" fillId="12" borderId="0" xfId="0" applyFill="1"/>
    <xf numFmtId="0" fontId="0" fillId="0" borderId="0" xfId="0" applyAlignment="1">
      <alignment vertical="center"/>
    </xf>
    <xf numFmtId="0" fontId="14" fillId="0" borderId="0" xfId="0" applyFont="1"/>
    <xf numFmtId="0" fontId="14" fillId="2" borderId="61" xfId="0" applyFont="1" applyFill="1" applyBorder="1" applyAlignment="1">
      <alignment horizontal="center" vertical="center" wrapText="1"/>
    </xf>
    <xf numFmtId="0" fontId="14" fillId="2" borderId="54" xfId="0" applyFont="1" applyFill="1" applyBorder="1" applyAlignment="1">
      <alignment vertical="center"/>
    </xf>
    <xf numFmtId="0" fontId="11" fillId="16" borderId="55" xfId="0" applyFont="1" applyFill="1" applyBorder="1" applyAlignment="1">
      <alignment horizontal="center" vertical="center"/>
    </xf>
    <xf numFmtId="0" fontId="11" fillId="16" borderId="59" xfId="0" applyFont="1" applyFill="1" applyBorder="1" applyAlignment="1">
      <alignment horizontal="center" vertical="center"/>
    </xf>
    <xf numFmtId="0" fontId="11" fillId="16" borderId="65" xfId="0" applyFont="1" applyFill="1" applyBorder="1" applyAlignment="1">
      <alignment horizontal="center" vertical="center"/>
    </xf>
    <xf numFmtId="0" fontId="14" fillId="2" borderId="56" xfId="0" applyFont="1" applyFill="1" applyBorder="1" applyAlignment="1">
      <alignment vertical="center"/>
    </xf>
    <xf numFmtId="0" fontId="14" fillId="2" borderId="58" xfId="0" applyFont="1" applyFill="1" applyBorder="1"/>
    <xf numFmtId="0" fontId="11" fillId="16" borderId="57" xfId="0" applyFont="1" applyFill="1" applyBorder="1" applyAlignment="1">
      <alignment horizontal="center" vertical="center"/>
    </xf>
    <xf numFmtId="0" fontId="14" fillId="2" borderId="44" xfId="0" applyFont="1" applyFill="1" applyBorder="1" applyAlignment="1">
      <alignment horizontal="center"/>
    </xf>
    <xf numFmtId="0" fontId="14" fillId="2" borderId="61" xfId="0" applyFont="1" applyFill="1" applyBorder="1" applyAlignment="1">
      <alignment vertical="center"/>
    </xf>
    <xf numFmtId="0" fontId="14" fillId="17" borderId="44" xfId="0" applyFont="1" applyFill="1" applyBorder="1" applyAlignment="1">
      <alignment horizontal="center"/>
    </xf>
    <xf numFmtId="1" fontId="14" fillId="17" borderId="44" xfId="0" applyNumberFormat="1" applyFont="1" applyFill="1" applyBorder="1" applyAlignment="1">
      <alignment horizontal="center"/>
    </xf>
    <xf numFmtId="0" fontId="0" fillId="0" borderId="44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/>
    </xf>
    <xf numFmtId="0" fontId="0" fillId="0" borderId="44" xfId="0" applyBorder="1" applyAlignment="1">
      <alignment horizontal="center"/>
    </xf>
    <xf numFmtId="0" fontId="0" fillId="0" borderId="44" xfId="0" applyBorder="1"/>
    <xf numFmtId="0" fontId="17" fillId="0" borderId="44" xfId="0" applyFont="1" applyBorder="1" applyAlignment="1">
      <alignment horizontal="center"/>
    </xf>
    <xf numFmtId="0" fontId="17" fillId="0" borderId="44" xfId="0" applyFont="1" applyBorder="1"/>
    <xf numFmtId="1" fontId="0" fillId="0" borderId="44" xfId="0" applyNumberFormat="1" applyBorder="1"/>
    <xf numFmtId="9" fontId="18" fillId="0" borderId="0" xfId="0" applyNumberFormat="1" applyFont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1" fillId="15" borderId="67" xfId="0" applyFont="1" applyFill="1" applyBorder="1"/>
    <xf numFmtId="0" fontId="14" fillId="15" borderId="69" xfId="0" applyFont="1" applyFill="1" applyBorder="1"/>
    <xf numFmtId="0" fontId="14" fillId="15" borderId="71" xfId="0" applyFont="1" applyFill="1" applyBorder="1"/>
    <xf numFmtId="0" fontId="11" fillId="3" borderId="67" xfId="0" applyFont="1" applyFill="1" applyBorder="1"/>
    <xf numFmtId="0" fontId="14" fillId="3" borderId="62" xfId="0" applyFont="1" applyFill="1" applyBorder="1"/>
    <xf numFmtId="0" fontId="14" fillId="3" borderId="68" xfId="0" applyFont="1" applyFill="1" applyBorder="1"/>
    <xf numFmtId="0" fontId="14" fillId="3" borderId="69" xfId="0" applyFont="1" applyFill="1" applyBorder="1"/>
    <xf numFmtId="0" fontId="14" fillId="3" borderId="71" xfId="0" applyFont="1" applyFill="1" applyBorder="1"/>
    <xf numFmtId="0" fontId="14" fillId="12" borderId="0" xfId="0" applyFont="1" applyFill="1"/>
    <xf numFmtId="0" fontId="0" fillId="12" borderId="0" xfId="0" applyFill="1" applyAlignment="1">
      <alignment vertical="center"/>
    </xf>
    <xf numFmtId="1" fontId="11" fillId="12" borderId="27" xfId="0" applyNumberFormat="1" applyFont="1" applyFill="1" applyBorder="1" applyAlignment="1">
      <alignment horizontal="center" vertical="center"/>
    </xf>
    <xf numFmtId="1" fontId="11" fillId="12" borderId="28" xfId="0" applyNumberFormat="1" applyFont="1" applyFill="1" applyBorder="1" applyAlignment="1">
      <alignment horizontal="center" vertical="center"/>
    </xf>
    <xf numFmtId="1" fontId="11" fillId="12" borderId="29" xfId="0" applyNumberFormat="1" applyFont="1" applyFill="1" applyBorder="1" applyAlignment="1">
      <alignment horizontal="center" vertical="center"/>
    </xf>
    <xf numFmtId="0" fontId="23" fillId="12" borderId="0" xfId="0" applyFont="1" applyFill="1"/>
    <xf numFmtId="0" fontId="24" fillId="0" borderId="0" xfId="0" applyFont="1" applyBorder="1" applyAlignment="1">
      <alignment vertical="center"/>
    </xf>
    <xf numFmtId="0" fontId="25" fillId="12" borderId="0" xfId="0" applyFont="1" applyFill="1" applyAlignment="1">
      <alignment horizontal="center" vertical="center"/>
    </xf>
    <xf numFmtId="0" fontId="22" fillId="0" borderId="72" xfId="0" applyFont="1" applyBorder="1" applyAlignment="1">
      <alignment horizontal="center" vertical="center" wrapText="1"/>
    </xf>
    <xf numFmtId="0" fontId="22" fillId="0" borderId="72" xfId="0" applyFont="1" applyBorder="1" applyAlignment="1">
      <alignment horizontal="center" vertical="center"/>
    </xf>
    <xf numFmtId="0" fontId="15" fillId="12" borderId="62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left"/>
    </xf>
    <xf numFmtId="0" fontId="14" fillId="3" borderId="70" xfId="0" applyFont="1" applyFill="1" applyBorder="1" applyAlignment="1">
      <alignment horizontal="left"/>
    </xf>
    <xf numFmtId="0" fontId="14" fillId="3" borderId="72" xfId="0" applyFont="1" applyFill="1" applyBorder="1" applyAlignment="1">
      <alignment horizontal="left"/>
    </xf>
    <xf numFmtId="0" fontId="14" fillId="3" borderId="73" xfId="0" applyFont="1" applyFill="1" applyBorder="1" applyAlignment="1">
      <alignment horizontal="left"/>
    </xf>
    <xf numFmtId="0" fontId="14" fillId="15" borderId="0" xfId="0" applyFont="1" applyFill="1" applyBorder="1" applyAlignment="1">
      <alignment horizontal="left"/>
    </xf>
    <xf numFmtId="0" fontId="14" fillId="15" borderId="70" xfId="0" applyFont="1" applyFill="1" applyBorder="1" applyAlignment="1">
      <alignment horizontal="left"/>
    </xf>
    <xf numFmtId="0" fontId="14" fillId="15" borderId="72" xfId="0" applyFont="1" applyFill="1" applyBorder="1" applyAlignment="1">
      <alignment horizontal="left"/>
    </xf>
    <xf numFmtId="0" fontId="14" fillId="15" borderId="73" xfId="0" applyFont="1" applyFill="1" applyBorder="1" applyAlignment="1">
      <alignment horizontal="left"/>
    </xf>
    <xf numFmtId="0" fontId="14" fillId="2" borderId="54" xfId="0" applyFont="1" applyFill="1" applyBorder="1" applyAlignment="1">
      <alignment horizontal="center"/>
    </xf>
    <xf numFmtId="0" fontId="14" fillId="2" borderId="63" xfId="0" applyFont="1" applyFill="1" applyBorder="1" applyAlignment="1">
      <alignment horizontal="center"/>
    </xf>
    <xf numFmtId="0" fontId="14" fillId="2" borderId="65" xfId="0" applyFont="1" applyFill="1" applyBorder="1" applyAlignment="1">
      <alignment horizontal="center"/>
    </xf>
    <xf numFmtId="0" fontId="14" fillId="2" borderId="56" xfId="0" applyFont="1" applyFill="1" applyBorder="1" applyAlignment="1">
      <alignment horizontal="center" vertical="center"/>
    </xf>
    <xf numFmtId="0" fontId="14" fillId="2" borderId="58" xfId="0" applyFont="1" applyFill="1" applyBorder="1" applyAlignment="1">
      <alignment horizontal="center" vertical="center"/>
    </xf>
    <xf numFmtId="0" fontId="11" fillId="16" borderId="60" xfId="0" applyFont="1" applyFill="1" applyBorder="1" applyAlignment="1">
      <alignment horizontal="center" vertical="center"/>
    </xf>
    <xf numFmtId="0" fontId="11" fillId="16" borderId="66" xfId="0" applyFont="1" applyFill="1" applyBorder="1" applyAlignment="1">
      <alignment horizontal="center" vertical="center"/>
    </xf>
    <xf numFmtId="0" fontId="1" fillId="2" borderId="56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1" fillId="2" borderId="58" xfId="0" applyFont="1" applyFill="1" applyBorder="1" applyAlignment="1">
      <alignment horizontal="center" vertical="center"/>
    </xf>
    <xf numFmtId="0" fontId="1" fillId="2" borderId="64" xfId="0" applyFont="1" applyFill="1" applyBorder="1" applyAlignment="1">
      <alignment horizontal="center" vertical="center"/>
    </xf>
    <xf numFmtId="2" fontId="11" fillId="16" borderId="60" xfId="0" applyNumberFormat="1" applyFont="1" applyFill="1" applyBorder="1" applyAlignment="1">
      <alignment horizontal="center" vertical="center"/>
    </xf>
    <xf numFmtId="2" fontId="11" fillId="16" borderId="66" xfId="0" applyNumberFormat="1" applyFont="1" applyFill="1" applyBorder="1" applyAlignment="1">
      <alignment horizontal="center" vertical="center"/>
    </xf>
    <xf numFmtId="0" fontId="11" fillId="15" borderId="62" xfId="0" applyFont="1" applyFill="1" applyBorder="1" applyAlignment="1">
      <alignment horizontal="center"/>
    </xf>
    <xf numFmtId="0" fontId="11" fillId="15" borderId="68" xfId="0" applyFont="1" applyFill="1" applyBorder="1" applyAlignment="1">
      <alignment horizontal="center"/>
    </xf>
    <xf numFmtId="0" fontId="20" fillId="12" borderId="0" xfId="0" applyFont="1" applyFill="1" applyAlignment="1">
      <alignment horizontal="left" vertical="top" wrapText="1"/>
    </xf>
    <xf numFmtId="0" fontId="16" fillId="18" borderId="60" xfId="0" applyFont="1" applyFill="1" applyBorder="1" applyAlignment="1">
      <alignment horizontal="left" vertical="center" wrapText="1"/>
    </xf>
    <xf numFmtId="0" fontId="16" fillId="18" borderId="82" xfId="0" applyFont="1" applyFill="1" applyBorder="1" applyAlignment="1">
      <alignment horizontal="left" vertical="center" wrapText="1"/>
    </xf>
    <xf numFmtId="0" fontId="19" fillId="22" borderId="79" xfId="0" applyFont="1" applyFill="1" applyBorder="1" applyAlignment="1">
      <alignment horizontal="center" vertical="center"/>
    </xf>
    <xf numFmtId="0" fontId="19" fillId="22" borderId="80" xfId="0" applyFont="1" applyFill="1" applyBorder="1" applyAlignment="1">
      <alignment horizontal="center" vertical="center"/>
    </xf>
    <xf numFmtId="9" fontId="19" fillId="22" borderId="80" xfId="0" applyNumberFormat="1" applyFont="1" applyFill="1" applyBorder="1" applyAlignment="1">
      <alignment horizontal="center" vertical="center"/>
    </xf>
    <xf numFmtId="2" fontId="19" fillId="22" borderId="80" xfId="0" applyNumberFormat="1" applyFont="1" applyFill="1" applyBorder="1" applyAlignment="1">
      <alignment horizontal="center" vertical="center"/>
    </xf>
    <xf numFmtId="2" fontId="19" fillId="22" borderId="81" xfId="0" applyNumberFormat="1" applyFont="1" applyFill="1" applyBorder="1" applyAlignment="1">
      <alignment horizontal="center" vertical="center"/>
    </xf>
    <xf numFmtId="0" fontId="19" fillId="21" borderId="77" xfId="0" applyFont="1" applyFill="1" applyBorder="1" applyAlignment="1">
      <alignment horizontal="center" vertical="center"/>
    </xf>
    <xf numFmtId="0" fontId="19" fillId="21" borderId="44" xfId="0" applyFont="1" applyFill="1" applyBorder="1" applyAlignment="1">
      <alignment horizontal="center" vertical="center"/>
    </xf>
    <xf numFmtId="2" fontId="19" fillId="19" borderId="44" xfId="0" applyNumberFormat="1" applyFont="1" applyFill="1" applyBorder="1" applyAlignment="1">
      <alignment horizontal="center" vertical="center" wrapText="1"/>
    </xf>
    <xf numFmtId="2" fontId="19" fillId="20" borderId="44" xfId="0" applyNumberFormat="1" applyFont="1" applyFill="1" applyBorder="1" applyAlignment="1">
      <alignment horizontal="center" vertical="center"/>
    </xf>
    <xf numFmtId="2" fontId="19" fillId="18" borderId="44" xfId="0" applyNumberFormat="1" applyFont="1" applyFill="1" applyBorder="1" applyAlignment="1">
      <alignment horizontal="center" vertical="center"/>
    </xf>
    <xf numFmtId="2" fontId="19" fillId="21" borderId="44" xfId="0" applyNumberFormat="1" applyFont="1" applyFill="1" applyBorder="1" applyAlignment="1">
      <alignment horizontal="center" vertical="center"/>
    </xf>
    <xf numFmtId="2" fontId="19" fillId="21" borderId="78" xfId="0" applyNumberFormat="1" applyFont="1" applyFill="1" applyBorder="1" applyAlignment="1">
      <alignment horizontal="center" vertical="center"/>
    </xf>
    <xf numFmtId="0" fontId="3" fillId="0" borderId="74" xfId="0" applyFont="1" applyBorder="1" applyAlignment="1">
      <alignment horizontal="center" vertical="center"/>
    </xf>
    <xf numFmtId="0" fontId="3" fillId="0" borderId="75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/>
    </xf>
    <xf numFmtId="0" fontId="19" fillId="20" borderId="77" xfId="0" applyFont="1" applyFill="1" applyBorder="1" applyAlignment="1">
      <alignment horizontal="center" vertical="center"/>
    </xf>
    <xf numFmtId="0" fontId="19" fillId="20" borderId="44" xfId="0" applyFont="1" applyFill="1" applyBorder="1" applyAlignment="1">
      <alignment horizontal="center" vertical="center"/>
    </xf>
    <xf numFmtId="0" fontId="19" fillId="18" borderId="77" xfId="0" applyFont="1" applyFill="1" applyBorder="1" applyAlignment="1">
      <alignment horizontal="center" vertical="center"/>
    </xf>
    <xf numFmtId="0" fontId="19" fillId="18" borderId="44" xfId="0" applyFont="1" applyFill="1" applyBorder="1" applyAlignment="1">
      <alignment horizontal="center" vertical="center"/>
    </xf>
    <xf numFmtId="0" fontId="19" fillId="19" borderId="77" xfId="0" applyFont="1" applyFill="1" applyBorder="1" applyAlignment="1">
      <alignment horizontal="center" vertical="center"/>
    </xf>
    <xf numFmtId="0" fontId="19" fillId="19" borderId="44" xfId="0" applyFont="1" applyFill="1" applyBorder="1" applyAlignment="1">
      <alignment horizontal="center" vertical="center"/>
    </xf>
    <xf numFmtId="2" fontId="19" fillId="19" borderId="78" xfId="0" applyNumberFormat="1" applyFont="1" applyFill="1" applyBorder="1" applyAlignment="1">
      <alignment horizontal="center" vertical="center" wrapText="1"/>
    </xf>
    <xf numFmtId="2" fontId="19" fillId="20" borderId="78" xfId="0" applyNumberFormat="1" applyFont="1" applyFill="1" applyBorder="1" applyAlignment="1">
      <alignment horizontal="center" vertical="center"/>
    </xf>
    <xf numFmtId="2" fontId="19" fillId="18" borderId="78" xfId="0" applyNumberFormat="1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 wrapText="1"/>
    </xf>
    <xf numFmtId="0" fontId="2" fillId="2" borderId="28" xfId="0" applyFont="1" applyFill="1" applyBorder="1" applyAlignment="1">
      <alignment horizontal="center" vertical="center" wrapText="1"/>
    </xf>
    <xf numFmtId="0" fontId="2" fillId="2" borderId="29" xfId="0" applyFont="1" applyFill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4" borderId="27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2" fillId="5" borderId="27" xfId="0" applyFont="1" applyFill="1" applyBorder="1" applyAlignment="1">
      <alignment horizontal="center" vertical="center"/>
    </xf>
    <xf numFmtId="0" fontId="2" fillId="5" borderId="28" xfId="0" applyFont="1" applyFill="1" applyBorder="1" applyAlignment="1">
      <alignment horizontal="center" vertical="center"/>
    </xf>
    <xf numFmtId="0" fontId="2" fillId="5" borderId="29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0" fontId="2" fillId="3" borderId="29" xfId="0" applyFont="1" applyFill="1" applyBorder="1" applyAlignment="1">
      <alignment horizontal="center" vertical="center"/>
    </xf>
    <xf numFmtId="0" fontId="13" fillId="0" borderId="47" xfId="0" applyFont="1" applyBorder="1" applyAlignment="1">
      <alignment horizontal="left" vertical="center" wrapText="1"/>
    </xf>
    <xf numFmtId="0" fontId="13" fillId="0" borderId="48" xfId="0" applyFont="1" applyBorder="1" applyAlignment="1">
      <alignment horizontal="left" vertical="center" wrapText="1"/>
    </xf>
    <xf numFmtId="0" fontId="13" fillId="0" borderId="49" xfId="0" applyFont="1" applyBorder="1" applyAlignment="1">
      <alignment horizontal="left" vertical="center" wrapText="1"/>
    </xf>
    <xf numFmtId="0" fontId="13" fillId="0" borderId="50" xfId="0" applyFont="1" applyBorder="1" applyAlignment="1">
      <alignment horizontal="left" vertical="center" wrapText="1"/>
    </xf>
    <xf numFmtId="0" fontId="13" fillId="0" borderId="0" xfId="0" applyFont="1" applyBorder="1" applyAlignment="1">
      <alignment horizontal="left" vertical="center" wrapText="1"/>
    </xf>
    <xf numFmtId="0" fontId="13" fillId="0" borderId="51" xfId="0" applyFont="1" applyBorder="1" applyAlignment="1">
      <alignment horizontal="left" vertical="center" wrapText="1"/>
    </xf>
    <xf numFmtId="0" fontId="13" fillId="0" borderId="52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left" vertical="center" wrapText="1"/>
    </xf>
    <xf numFmtId="0" fontId="13" fillId="0" borderId="53" xfId="0" applyFont="1" applyBorder="1" applyAlignment="1">
      <alignment horizontal="left" vertical="center" wrapText="1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21" fillId="13" borderId="7" xfId="0" applyFont="1" applyFill="1" applyBorder="1" applyAlignment="1">
      <alignment horizontal="center" vertical="center" wrapText="1"/>
    </xf>
    <xf numFmtId="0" fontId="21" fillId="13" borderId="8" xfId="0" applyFont="1" applyFill="1" applyBorder="1" applyAlignment="1">
      <alignment horizontal="center" vertical="center" wrapText="1"/>
    </xf>
    <xf numFmtId="0" fontId="21" fillId="13" borderId="9" xfId="0" applyFont="1" applyFill="1" applyBorder="1" applyAlignment="1">
      <alignment horizontal="center" vertical="center" wrapText="1"/>
    </xf>
    <xf numFmtId="0" fontId="24" fillId="0" borderId="18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13" borderId="18" xfId="0" applyFont="1" applyFill="1" applyBorder="1" applyAlignment="1">
      <alignment horizontal="center" vertical="center" wrapText="1"/>
    </xf>
    <xf numFmtId="0" fontId="3" fillId="13" borderId="19" xfId="0" applyFont="1" applyFill="1" applyBorder="1" applyAlignment="1">
      <alignment horizontal="center" vertical="center" wrapText="1"/>
    </xf>
    <xf numFmtId="0" fontId="3" fillId="13" borderId="20" xfId="0" applyFont="1" applyFill="1" applyBorder="1" applyAlignment="1">
      <alignment horizontal="center" vertical="center" wrapText="1"/>
    </xf>
    <xf numFmtId="0" fontId="3" fillId="13" borderId="21" xfId="0" applyFont="1" applyFill="1" applyBorder="1" applyAlignment="1">
      <alignment horizontal="center" vertical="center" wrapText="1"/>
    </xf>
    <xf numFmtId="0" fontId="3" fillId="13" borderId="22" xfId="0" applyFont="1" applyFill="1" applyBorder="1" applyAlignment="1">
      <alignment horizontal="center" vertical="center" wrapText="1"/>
    </xf>
    <xf numFmtId="0" fontId="3" fillId="13" borderId="23" xfId="0" applyFont="1" applyFill="1" applyBorder="1" applyAlignment="1">
      <alignment horizontal="center" vertical="center" wrapText="1"/>
    </xf>
    <xf numFmtId="0" fontId="12" fillId="13" borderId="16" xfId="0" applyFont="1" applyFill="1" applyBorder="1" applyAlignment="1">
      <alignment horizontal="center" vertical="center" wrapText="1"/>
    </xf>
    <xf numFmtId="0" fontId="12" fillId="13" borderId="14" xfId="0" applyFont="1" applyFill="1" applyBorder="1" applyAlignment="1">
      <alignment horizontal="center" vertical="center" wrapText="1"/>
    </xf>
    <xf numFmtId="0" fontId="12" fillId="13" borderId="15" xfId="0" applyFont="1" applyFill="1" applyBorder="1" applyAlignment="1">
      <alignment horizontal="center" vertical="center" wrapText="1"/>
    </xf>
    <xf numFmtId="0" fontId="9" fillId="0" borderId="3" xfId="1" applyFont="1" applyBorder="1" applyAlignment="1">
      <alignment horizontal="left" vertical="center" wrapText="1"/>
    </xf>
    <xf numFmtId="0" fontId="9" fillId="0" borderId="4" xfId="1" applyFont="1" applyBorder="1" applyAlignment="1">
      <alignment horizontal="left" vertical="center" wrapText="1"/>
    </xf>
    <xf numFmtId="0" fontId="10" fillId="12" borderId="3" xfId="1" applyFont="1" applyFill="1" applyBorder="1" applyAlignment="1">
      <alignment horizontal="center" vertical="center" wrapText="1"/>
    </xf>
    <xf numFmtId="0" fontId="10" fillId="12" borderId="3" xfId="1" applyFont="1" applyFill="1" applyBorder="1" applyAlignment="1">
      <alignment horizontal="center" vertical="center"/>
    </xf>
    <xf numFmtId="0" fontId="12" fillId="13" borderId="8" xfId="1" applyFont="1" applyFill="1" applyBorder="1" applyAlignment="1">
      <alignment horizontal="center" vertical="center" wrapText="1"/>
    </xf>
    <xf numFmtId="0" fontId="12" fillId="13" borderId="9" xfId="1" applyFont="1" applyFill="1" applyBorder="1" applyAlignment="1">
      <alignment horizontal="center" vertical="center" wrapText="1"/>
    </xf>
    <xf numFmtId="0" fontId="2" fillId="12" borderId="5" xfId="1" applyFill="1" applyBorder="1" applyAlignment="1">
      <alignment horizontal="center" vertical="center"/>
    </xf>
    <xf numFmtId="0" fontId="0" fillId="12" borderId="0" xfId="0" applyFill="1" applyAlignment="1">
      <alignment horizontal="left" vertical="center"/>
    </xf>
    <xf numFmtId="0" fontId="12" fillId="12" borderId="77" xfId="0" applyFont="1" applyFill="1" applyBorder="1" applyAlignment="1">
      <alignment horizontal="center" vertical="center" wrapText="1"/>
    </xf>
    <xf numFmtId="0" fontId="12" fillId="12" borderId="44" xfId="0" applyFont="1" applyFill="1" applyBorder="1" applyAlignment="1">
      <alignment horizontal="center" vertical="center" wrapText="1"/>
    </xf>
    <xf numFmtId="0" fontId="12" fillId="2" borderId="44" xfId="0" applyFont="1" applyFill="1" applyBorder="1" applyAlignment="1">
      <alignment horizontal="center" vertical="center"/>
    </xf>
    <xf numFmtId="0" fontId="12" fillId="2" borderId="78" xfId="0" applyFont="1" applyFill="1" applyBorder="1" applyAlignment="1">
      <alignment horizontal="center" vertical="center"/>
    </xf>
  </cellXfs>
  <cellStyles count="3">
    <cellStyle name="Normal" xfId="0" builtinId="0"/>
    <cellStyle name="Style 1" xfId="2" xr:uid="{BDA33A6D-9258-4B46-9253-329E533C6C3D}"/>
    <cellStyle name="Total" xfId="1" builtinId="25"/>
  </cellStyles>
  <dxfs count="1">
    <dxf>
      <font>
        <strike val="0"/>
        <color theme="0"/>
      </font>
    </dxf>
  </dxfs>
  <tableStyles count="0" defaultTableStyle="TableStyleMedium2" defaultPivotStyle="PivotStyleLight16"/>
  <colors>
    <mruColors>
      <color rgb="FFFF6600"/>
      <color rgb="FFFF0000"/>
      <color rgb="FF262FE0"/>
      <color rgb="FF00ABB4"/>
      <color rgb="FF00E5F0"/>
      <color rgb="FF82FFA0"/>
      <color rgb="FF2DF5FF"/>
      <color rgb="FF69F8FF"/>
      <color rgb="FF91FAFF"/>
      <color rgb="FFB9F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N$4" lockText="1" noThreeD="1"/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3" Type="http://schemas.openxmlformats.org/officeDocument/2006/relationships/image" Target="../media/image3.png"/><Relationship Id="rId7" Type="http://schemas.openxmlformats.org/officeDocument/2006/relationships/image" Target="../media/image5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330805</xdr:colOff>
      <xdr:row>0</xdr:row>
      <xdr:rowOff>127603</xdr:rowOff>
    </xdr:from>
    <xdr:to>
      <xdr:col>9</xdr:col>
      <xdr:colOff>839410</xdr:colOff>
      <xdr:row>5</xdr:row>
      <xdr:rowOff>147808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16519" y="127603"/>
          <a:ext cx="2262414" cy="2046157"/>
        </a:xfrm>
        <a:prstGeom prst="rect">
          <a:avLst/>
        </a:prstGeom>
      </xdr:spPr>
    </xdr:pic>
    <xdr:clientData/>
  </xdr:twoCellAnchor>
  <xdr:twoCellAnchor editAs="oneCell">
    <xdr:from>
      <xdr:col>10</xdr:col>
      <xdr:colOff>123976</xdr:colOff>
      <xdr:row>1</xdr:row>
      <xdr:rowOff>8590</xdr:rowOff>
    </xdr:from>
    <xdr:to>
      <xdr:col>12</xdr:col>
      <xdr:colOff>166311</xdr:colOff>
      <xdr:row>8</xdr:row>
      <xdr:rowOff>115405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40405" y="1066923"/>
          <a:ext cx="1796143" cy="1800149"/>
        </a:xfrm>
        <a:prstGeom prst="rect">
          <a:avLst/>
        </a:prstGeom>
      </xdr:spPr>
    </xdr:pic>
    <xdr:clientData/>
  </xdr:twoCellAnchor>
  <xdr:twoCellAnchor editAs="oneCell">
    <xdr:from>
      <xdr:col>10</xdr:col>
      <xdr:colOff>656552</xdr:colOff>
      <xdr:row>18</xdr:row>
      <xdr:rowOff>404718</xdr:rowOff>
    </xdr:from>
    <xdr:to>
      <xdr:col>12</xdr:col>
      <xdr:colOff>368604</xdr:colOff>
      <xdr:row>24</xdr:row>
      <xdr:rowOff>2634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831" t="4765" r="5607" b="5531"/>
        <a:stretch/>
      </xdr:blipFill>
      <xdr:spPr>
        <a:xfrm>
          <a:off x="14203219" y="5539935"/>
          <a:ext cx="1479007" cy="1456902"/>
        </a:xfrm>
        <a:prstGeom prst="rect">
          <a:avLst/>
        </a:prstGeom>
      </xdr:spPr>
    </xdr:pic>
    <xdr:clientData/>
  </xdr:twoCellAnchor>
  <xdr:twoCellAnchor editAs="oneCell">
    <xdr:from>
      <xdr:col>7</xdr:col>
      <xdr:colOff>804695</xdr:colOff>
      <xdr:row>18</xdr:row>
      <xdr:rowOff>490060</xdr:rowOff>
    </xdr:from>
    <xdr:to>
      <xdr:col>10</xdr:col>
      <xdr:colOff>480114</xdr:colOff>
      <xdr:row>23</xdr:row>
      <xdr:rowOff>95188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0927" y="5625277"/>
          <a:ext cx="2325854" cy="1224839"/>
        </a:xfrm>
        <a:prstGeom prst="rect">
          <a:avLst/>
        </a:prstGeom>
      </xdr:spPr>
    </xdr:pic>
    <xdr:clientData/>
  </xdr:twoCellAnchor>
  <xdr:twoCellAnchor editAs="oneCell">
    <xdr:from>
      <xdr:col>9</xdr:col>
      <xdr:colOff>295403</xdr:colOff>
      <xdr:row>10</xdr:row>
      <xdr:rowOff>232658</xdr:rowOff>
    </xdr:from>
    <xdr:to>
      <xdr:col>11</xdr:col>
      <xdr:colOff>50799</xdr:colOff>
      <xdr:row>18</xdr:row>
      <xdr:rowOff>298777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r="9962"/>
        <a:stretch/>
      </xdr:blipFill>
      <xdr:spPr>
        <a:xfrm>
          <a:off x="12978470" y="3449991"/>
          <a:ext cx="1516463" cy="19965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4</xdr:row>
          <xdr:rowOff>50800</xdr:rowOff>
        </xdr:from>
        <xdr:to>
          <xdr:col>1</xdr:col>
          <xdr:colOff>635000</xdr:colOff>
          <xdr:row>5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101600</xdr:colOff>
      <xdr:row>6</xdr:row>
      <xdr:rowOff>101600</xdr:rowOff>
    </xdr:from>
    <xdr:to>
      <xdr:col>1</xdr:col>
      <xdr:colOff>660400</xdr:colOff>
      <xdr:row>8</xdr:row>
      <xdr:rowOff>127001</xdr:rowOff>
    </xdr:to>
    <xdr:sp macro="" textlink="">
      <xdr:nvSpPr>
        <xdr:cNvPr id="1034" name="CheckBox1" hidden="1">
          <a:extLst>
            <a:ext uri="{63B3BB69-23CF-44E3-9099-C40C66FF867C}">
              <a14:compatExt xmlns:a14="http://schemas.microsoft.com/office/drawing/2010/main" spid="_x0000_s1034"/>
            </a:ext>
            <a:ext uri="{FF2B5EF4-FFF2-40B4-BE49-F238E27FC236}">
              <a16:creationId xmlns:a16="http://schemas.microsoft.com/office/drawing/2014/main" id="{00000000-0008-0000-0100-00000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101600</xdr:colOff>
      <xdr:row>6</xdr:row>
      <xdr:rowOff>101600</xdr:rowOff>
    </xdr:from>
    <xdr:to>
      <xdr:col>1</xdr:col>
      <xdr:colOff>711200</xdr:colOff>
      <xdr:row>8</xdr:row>
      <xdr:rowOff>139701</xdr:rowOff>
    </xdr:to>
    <xdr:sp macro="" textlink="">
      <xdr:nvSpPr>
        <xdr:cNvPr id="1027" name="CheckBox1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25400</xdr:colOff>
          <xdr:row>6</xdr:row>
          <xdr:rowOff>88900</xdr:rowOff>
        </xdr:from>
        <xdr:to>
          <xdr:col>0</xdr:col>
          <xdr:colOff>355600</xdr:colOff>
          <xdr:row>8</xdr:row>
          <xdr:rowOff>63500</xdr:rowOff>
        </xdr:to>
        <xdr:sp macro="" textlink="">
          <xdr:nvSpPr>
            <xdr:cNvPr id="2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211673</xdr:colOff>
      <xdr:row>6</xdr:row>
      <xdr:rowOff>84667</xdr:rowOff>
    </xdr:from>
    <xdr:to>
      <xdr:col>1</xdr:col>
      <xdr:colOff>713840</xdr:colOff>
      <xdr:row>8</xdr:row>
      <xdr:rowOff>61500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11673" y="1778000"/>
          <a:ext cx="1116000" cy="25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PH" sz="1100" b="1"/>
            <a:t>Air-Conditioned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333375</xdr:colOff>
      <xdr:row>4</xdr:row>
      <xdr:rowOff>14287</xdr:rowOff>
    </xdr:from>
    <xdr:ext cx="18806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7439025" y="1157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5619F4B-6B27-4427-8FDE-36ED611875C8}"/>
                </a:ext>
              </a:extLst>
            </xdr:cNvPr>
            <xdr:cNvSpPr txBox="1"/>
          </xdr:nvSpPr>
          <xdr:spPr>
            <a:xfrm>
              <a:off x="7439025" y="1157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𝜎^2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266700</xdr:colOff>
      <xdr:row>4</xdr:row>
      <xdr:rowOff>19050</xdr:rowOff>
    </xdr:from>
    <xdr:ext cx="18473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9344025" y="1162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213E3796-4672-4A87-B8AA-F6D62DCBE0C3}"/>
                </a:ext>
              </a:extLst>
            </xdr:cNvPr>
            <xdr:cNvSpPr txBox="1"/>
          </xdr:nvSpPr>
          <xdr:spPr>
            <a:xfrm>
              <a:off x="9344025" y="1162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𝑅_0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333375</xdr:colOff>
      <xdr:row>18</xdr:row>
      <xdr:rowOff>14287</xdr:rowOff>
    </xdr:from>
    <xdr:ext cx="18806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7439025" y="1157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1D3C1352-8385-4966-B4FC-E43689217982}"/>
                </a:ext>
              </a:extLst>
            </xdr:cNvPr>
            <xdr:cNvSpPr txBox="1"/>
          </xdr:nvSpPr>
          <xdr:spPr>
            <a:xfrm>
              <a:off x="7439025" y="1157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𝜎^2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266700</xdr:colOff>
      <xdr:row>18</xdr:row>
      <xdr:rowOff>19050</xdr:rowOff>
    </xdr:from>
    <xdr:ext cx="18473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 txBox="1"/>
          </xdr:nvSpPr>
          <xdr:spPr>
            <a:xfrm>
              <a:off x="9344025" y="1162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26334B4-9289-4B3C-8EAB-84FFB7E92D99}"/>
                </a:ext>
              </a:extLst>
            </xdr:cNvPr>
            <xdr:cNvSpPr txBox="1"/>
          </xdr:nvSpPr>
          <xdr:spPr>
            <a:xfrm>
              <a:off x="9344025" y="1162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𝑅_0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333375</xdr:colOff>
      <xdr:row>32</xdr:row>
      <xdr:rowOff>14287</xdr:rowOff>
    </xdr:from>
    <xdr:ext cx="18806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 txBox="1"/>
          </xdr:nvSpPr>
          <xdr:spPr>
            <a:xfrm>
              <a:off x="7439025" y="3062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6D42D282-51BE-404B-BA73-5F0B7EC9E4DD}"/>
                </a:ext>
              </a:extLst>
            </xdr:cNvPr>
            <xdr:cNvSpPr txBox="1"/>
          </xdr:nvSpPr>
          <xdr:spPr>
            <a:xfrm>
              <a:off x="7439025" y="3062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𝜎^2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266700</xdr:colOff>
      <xdr:row>32</xdr:row>
      <xdr:rowOff>19050</xdr:rowOff>
    </xdr:from>
    <xdr:ext cx="18473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 txBox="1"/>
          </xdr:nvSpPr>
          <xdr:spPr>
            <a:xfrm>
              <a:off x="9344025" y="3067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C419B22C-6CDF-4CC4-A12C-E37C0017D722}"/>
                </a:ext>
              </a:extLst>
            </xdr:cNvPr>
            <xdr:cNvSpPr txBox="1"/>
          </xdr:nvSpPr>
          <xdr:spPr>
            <a:xfrm>
              <a:off x="9344025" y="3067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𝑅_0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333375</xdr:colOff>
      <xdr:row>46</xdr:row>
      <xdr:rowOff>14287</xdr:rowOff>
    </xdr:from>
    <xdr:ext cx="18806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SpPr txBox="1"/>
          </xdr:nvSpPr>
          <xdr:spPr>
            <a:xfrm>
              <a:off x="7439025" y="4967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A1613BD4-C21F-424B-BFD4-C39BA0330C92}"/>
                </a:ext>
              </a:extLst>
            </xdr:cNvPr>
            <xdr:cNvSpPr txBox="1"/>
          </xdr:nvSpPr>
          <xdr:spPr>
            <a:xfrm>
              <a:off x="7439025" y="4967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𝜎^2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266700</xdr:colOff>
      <xdr:row>46</xdr:row>
      <xdr:rowOff>19050</xdr:rowOff>
    </xdr:from>
    <xdr:ext cx="18473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SpPr txBox="1"/>
          </xdr:nvSpPr>
          <xdr:spPr>
            <a:xfrm>
              <a:off x="9344025" y="4972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F8871DF3-728E-4032-BF01-7D110E3F4626}"/>
                </a:ext>
              </a:extLst>
            </xdr:cNvPr>
            <xdr:cNvSpPr txBox="1"/>
          </xdr:nvSpPr>
          <xdr:spPr>
            <a:xfrm>
              <a:off x="9344025" y="4972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𝑅_0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333375</xdr:colOff>
      <xdr:row>60</xdr:row>
      <xdr:rowOff>14287</xdr:rowOff>
    </xdr:from>
    <xdr:ext cx="18806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7439025" y="6872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2CA7145D-CC28-4281-B467-693EF52CBBA3}"/>
                </a:ext>
              </a:extLst>
            </xdr:cNvPr>
            <xdr:cNvSpPr txBox="1"/>
          </xdr:nvSpPr>
          <xdr:spPr>
            <a:xfrm>
              <a:off x="7439025" y="6872287"/>
              <a:ext cx="18806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𝜎^2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266700</xdr:colOff>
      <xdr:row>60</xdr:row>
      <xdr:rowOff>19050</xdr:rowOff>
    </xdr:from>
    <xdr:ext cx="18473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9344025" y="6877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845EBA7-0CEF-4E6D-BCA6-E3235E117386}"/>
                </a:ext>
              </a:extLst>
            </xdr:cNvPr>
            <xdr:cNvSpPr txBox="1"/>
          </xdr:nvSpPr>
          <xdr:spPr>
            <a:xfrm>
              <a:off x="9344025" y="6877050"/>
              <a:ext cx="18473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𝑅_0</a:t>
              </a:r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AA3F4-1FF0-6346-8077-88ED2915D1BB}">
  <sheetPr codeName="Sheet2"/>
  <dimension ref="A1:AE62"/>
  <sheetViews>
    <sheetView zoomScale="76" workbookViewId="0">
      <selection activeCell="O26" sqref="O26"/>
    </sheetView>
  </sheetViews>
  <sheetFormatPr baseColWidth="10" defaultColWidth="11.5" defaultRowHeight="15" x14ac:dyDescent="0.2"/>
  <cols>
    <col min="1" max="1" width="34.1640625" customWidth="1"/>
    <col min="2" max="2" width="12.33203125" customWidth="1"/>
    <col min="4" max="4" width="27.83203125" customWidth="1"/>
    <col min="5" max="5" width="7.1640625" customWidth="1"/>
    <col min="6" max="6" width="39" customWidth="1"/>
    <col min="7" max="7" width="18.1640625" customWidth="1"/>
  </cols>
  <sheetData>
    <row r="1" spans="1:31" ht="83" customHeight="1" thickBot="1" x14ac:dyDescent="0.25">
      <c r="A1" s="93" t="s">
        <v>94</v>
      </c>
      <c r="B1" s="94"/>
      <c r="C1" s="94"/>
      <c r="D1" s="94"/>
      <c r="E1" s="94"/>
      <c r="F1" s="94"/>
      <c r="G1" s="94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</row>
    <row r="2" spans="1:31" ht="19" x14ac:dyDescent="0.25">
      <c r="A2" s="77" t="s">
        <v>27</v>
      </c>
      <c r="B2" s="117" t="s">
        <v>28</v>
      </c>
      <c r="C2" s="117"/>
      <c r="D2" s="117"/>
      <c r="E2" s="117"/>
      <c r="F2" s="117"/>
      <c r="G2" s="118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</row>
    <row r="3" spans="1:31" ht="19" x14ac:dyDescent="0.25">
      <c r="A3" s="78" t="s">
        <v>80</v>
      </c>
      <c r="B3" s="100" t="s">
        <v>34</v>
      </c>
      <c r="C3" s="100"/>
      <c r="D3" s="100"/>
      <c r="E3" s="100"/>
      <c r="F3" s="100"/>
      <c r="G3" s="101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</row>
    <row r="4" spans="1:31" ht="19" x14ac:dyDescent="0.25">
      <c r="A4" s="78" t="s">
        <v>81</v>
      </c>
      <c r="B4" s="100" t="s">
        <v>82</v>
      </c>
      <c r="C4" s="100"/>
      <c r="D4" s="100"/>
      <c r="E4" s="100"/>
      <c r="F4" s="100"/>
      <c r="G4" s="101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</row>
    <row r="5" spans="1:31" ht="19" x14ac:dyDescent="0.25">
      <c r="A5" s="78" t="s">
        <v>29</v>
      </c>
      <c r="B5" s="100" t="s">
        <v>83</v>
      </c>
      <c r="C5" s="100"/>
      <c r="D5" s="100"/>
      <c r="E5" s="100"/>
      <c r="F5" s="100"/>
      <c r="G5" s="101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</row>
    <row r="6" spans="1:31" ht="19" x14ac:dyDescent="0.25">
      <c r="A6" s="78" t="s">
        <v>91</v>
      </c>
      <c r="B6" s="100" t="s">
        <v>90</v>
      </c>
      <c r="C6" s="100"/>
      <c r="D6" s="100"/>
      <c r="E6" s="100"/>
      <c r="F6" s="100"/>
      <c r="G6" s="101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</row>
    <row r="7" spans="1:31" ht="19" x14ac:dyDescent="0.25">
      <c r="A7" s="78" t="s">
        <v>32</v>
      </c>
      <c r="B7" s="100" t="s">
        <v>84</v>
      </c>
      <c r="C7" s="100"/>
      <c r="D7" s="100"/>
      <c r="E7" s="100"/>
      <c r="F7" s="100"/>
      <c r="G7" s="101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</row>
    <row r="8" spans="1:31" ht="19" x14ac:dyDescent="0.25">
      <c r="A8" s="78" t="s">
        <v>33</v>
      </c>
      <c r="B8" s="100" t="s">
        <v>85</v>
      </c>
      <c r="C8" s="100"/>
      <c r="D8" s="100"/>
      <c r="E8" s="100"/>
      <c r="F8" s="100"/>
      <c r="G8" s="101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</row>
    <row r="9" spans="1:31" ht="20" thickBot="1" x14ac:dyDescent="0.3">
      <c r="A9" s="79" t="s">
        <v>100</v>
      </c>
      <c r="B9" s="102" t="s">
        <v>86</v>
      </c>
      <c r="C9" s="102"/>
      <c r="D9" s="102"/>
      <c r="E9" s="102"/>
      <c r="F9" s="102"/>
      <c r="G9" s="103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</row>
    <row r="10" spans="1:31" ht="20" thickBot="1" x14ac:dyDescent="0.3">
      <c r="A10" s="85"/>
      <c r="B10" s="85"/>
      <c r="C10" s="85"/>
      <c r="D10" s="85"/>
      <c r="E10" s="85"/>
      <c r="F10" s="85"/>
      <c r="G10" s="85"/>
      <c r="H10" s="52"/>
      <c r="I10" s="85" t="s">
        <v>79</v>
      </c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</row>
    <row r="11" spans="1:31" ht="19" x14ac:dyDescent="0.25">
      <c r="A11" s="80" t="s">
        <v>30</v>
      </c>
      <c r="B11" s="81"/>
      <c r="C11" s="81"/>
      <c r="D11" s="81"/>
      <c r="E11" s="81"/>
      <c r="F11" s="81"/>
      <c r="G11" s="82"/>
      <c r="H11" s="52"/>
      <c r="I11" s="85" t="s">
        <v>92</v>
      </c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</row>
    <row r="12" spans="1:31" ht="19" x14ac:dyDescent="0.25">
      <c r="A12" s="83" t="s">
        <v>31</v>
      </c>
      <c r="B12" s="96" t="s">
        <v>87</v>
      </c>
      <c r="C12" s="96"/>
      <c r="D12" s="96"/>
      <c r="E12" s="96"/>
      <c r="F12" s="96"/>
      <c r="G12" s="97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</row>
    <row r="13" spans="1:31" ht="20" thickBot="1" x14ac:dyDescent="0.3">
      <c r="A13" s="84" t="s">
        <v>57</v>
      </c>
      <c r="B13" s="98" t="s">
        <v>88</v>
      </c>
      <c r="C13" s="98"/>
      <c r="D13" s="98"/>
      <c r="E13" s="98"/>
      <c r="F13" s="98"/>
      <c r="G13" s="99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</row>
    <row r="14" spans="1:31" ht="20" thickBot="1" x14ac:dyDescent="0.3">
      <c r="A14" s="85"/>
      <c r="B14" s="85"/>
      <c r="C14" s="85"/>
      <c r="D14" s="85"/>
      <c r="E14" s="85"/>
      <c r="F14" s="85"/>
      <c r="G14" s="85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</row>
    <row r="15" spans="1:31" s="53" customFormat="1" ht="18" customHeight="1" x14ac:dyDescent="0.25">
      <c r="A15" s="56" t="s">
        <v>58</v>
      </c>
      <c r="B15" s="59">
        <v>100</v>
      </c>
      <c r="C15" s="104" t="s">
        <v>89</v>
      </c>
      <c r="D15" s="105"/>
      <c r="E15" s="106"/>
      <c r="F15" s="56" t="s">
        <v>32</v>
      </c>
      <c r="G15" s="57">
        <v>60</v>
      </c>
      <c r="H15" s="86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</row>
    <row r="16" spans="1:31" s="53" customFormat="1" ht="18" customHeight="1" x14ac:dyDescent="0.2">
      <c r="A16" s="107" t="s">
        <v>59</v>
      </c>
      <c r="B16" s="109">
        <v>6</v>
      </c>
      <c r="C16" s="111" t="s">
        <v>45</v>
      </c>
      <c r="D16" s="112"/>
      <c r="E16" s="115">
        <f>VLOOKUP(C16,'Nature of Work'!A2:B21,2,FALSE)</f>
        <v>0.69712499999999988</v>
      </c>
      <c r="F16" s="60" t="s">
        <v>100</v>
      </c>
      <c r="G16" s="62">
        <v>20</v>
      </c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</row>
    <row r="17" spans="1:31" s="53" customFormat="1" ht="18" customHeight="1" thickBot="1" x14ac:dyDescent="0.3">
      <c r="A17" s="108"/>
      <c r="B17" s="110"/>
      <c r="C17" s="113"/>
      <c r="D17" s="114"/>
      <c r="E17" s="116"/>
      <c r="F17" s="61" t="s">
        <v>33</v>
      </c>
      <c r="G17" s="58">
        <v>20</v>
      </c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</row>
    <row r="18" spans="1:31" ht="19" x14ac:dyDescent="0.25">
      <c r="A18" s="85"/>
      <c r="B18" s="85"/>
      <c r="C18" s="85"/>
      <c r="D18" s="85"/>
      <c r="E18" s="85"/>
      <c r="F18" s="95" t="str">
        <f>IF(SUM(G15:G17)=B15,"","Not Equal to the Total Employees")</f>
        <v/>
      </c>
      <c r="G18" s="95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</row>
    <row r="19" spans="1:31" ht="52" customHeight="1" x14ac:dyDescent="0.25">
      <c r="A19" s="64" t="s">
        <v>60</v>
      </c>
      <c r="B19" s="55" t="s">
        <v>62</v>
      </c>
      <c r="C19" s="55" t="s">
        <v>61</v>
      </c>
      <c r="D19" s="55" t="s">
        <v>63</v>
      </c>
      <c r="E19" s="54"/>
      <c r="F19" s="120" t="s">
        <v>78</v>
      </c>
      <c r="G19" s="121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</row>
    <row r="20" spans="1:31" ht="19" x14ac:dyDescent="0.25">
      <c r="A20" s="63">
        <f>IF(1&lt;B16,1,"")</f>
        <v>1</v>
      </c>
      <c r="B20" s="65">
        <v>100</v>
      </c>
      <c r="C20" s="66">
        <v>55</v>
      </c>
      <c r="D20" s="65">
        <v>10</v>
      </c>
      <c r="E20" s="85"/>
      <c r="F20" s="85"/>
      <c r="G20" s="85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</row>
    <row r="21" spans="1:31" ht="19" x14ac:dyDescent="0.25">
      <c r="A21" s="63">
        <f>IF(2&lt;=$B$16,2,"")</f>
        <v>2</v>
      </c>
      <c r="B21" s="65">
        <v>65</v>
      </c>
      <c r="C21" s="66">
        <v>15</v>
      </c>
      <c r="D21" s="65">
        <v>7</v>
      </c>
      <c r="E21" s="85"/>
      <c r="F21" s="119" t="s">
        <v>93</v>
      </c>
      <c r="G21" s="119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</row>
    <row r="22" spans="1:31" ht="19" x14ac:dyDescent="0.25">
      <c r="A22" s="63">
        <f>IF(3&lt;=$B$16,3,"")</f>
        <v>3</v>
      </c>
      <c r="B22" s="65">
        <v>65</v>
      </c>
      <c r="C22" s="66">
        <v>20</v>
      </c>
      <c r="D22" s="65">
        <v>40</v>
      </c>
      <c r="E22" s="85"/>
      <c r="F22" s="119"/>
      <c r="G22" s="119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</row>
    <row r="23" spans="1:31" ht="19" x14ac:dyDescent="0.25">
      <c r="A23" s="63">
        <f>IF(4&lt;=$B$16,4,"")</f>
        <v>4</v>
      </c>
      <c r="B23" s="65">
        <v>50</v>
      </c>
      <c r="C23" s="66">
        <v>10</v>
      </c>
      <c r="D23" s="65">
        <v>4</v>
      </c>
      <c r="E23" s="85"/>
      <c r="F23" s="119"/>
      <c r="G23" s="119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</row>
    <row r="24" spans="1:31" ht="19" x14ac:dyDescent="0.25">
      <c r="A24" s="63">
        <f>IF(5&lt;=$B$16,5,"")</f>
        <v>5</v>
      </c>
      <c r="B24" s="65">
        <v>50</v>
      </c>
      <c r="C24" s="65">
        <v>20</v>
      </c>
      <c r="D24" s="65">
        <v>5</v>
      </c>
      <c r="E24" s="85"/>
      <c r="F24" s="119"/>
      <c r="G24" s="119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</row>
    <row r="25" spans="1:31" ht="19" x14ac:dyDescent="0.25">
      <c r="A25" s="63">
        <f>IF(6&lt;=$B$16,6,"")</f>
        <v>6</v>
      </c>
      <c r="B25" s="65">
        <v>100</v>
      </c>
      <c r="C25" s="65">
        <v>50</v>
      </c>
      <c r="D25" s="65">
        <v>15</v>
      </c>
      <c r="E25" s="85"/>
      <c r="F25" s="119"/>
      <c r="G25" s="119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</row>
    <row r="26" spans="1:31" ht="19" x14ac:dyDescent="0.25">
      <c r="A26" s="63" t="str">
        <f>IF(7&lt;=$B$16,7,"")</f>
        <v/>
      </c>
      <c r="B26" s="65"/>
      <c r="C26" s="65"/>
      <c r="D26" s="65"/>
      <c r="E26" s="85"/>
      <c r="F26" s="119"/>
      <c r="G26" s="119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</row>
    <row r="27" spans="1:31" ht="19" x14ac:dyDescent="0.25">
      <c r="A27" s="63" t="str">
        <f>IF(8&lt;=$B$16,8,"")</f>
        <v/>
      </c>
      <c r="B27" s="65"/>
      <c r="C27" s="65"/>
      <c r="D27" s="65"/>
      <c r="E27" s="85"/>
      <c r="F27" s="119"/>
      <c r="G27" s="119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</row>
    <row r="28" spans="1:31" ht="24" x14ac:dyDescent="0.3">
      <c r="A28" s="63" t="str">
        <f>IF(9&lt;=$B$16,9,"")</f>
        <v/>
      </c>
      <c r="B28" s="65"/>
      <c r="C28" s="65"/>
      <c r="D28" s="65"/>
      <c r="E28" s="85"/>
      <c r="F28" s="119"/>
      <c r="G28" s="119"/>
      <c r="H28" s="52"/>
      <c r="I28" s="90" t="s">
        <v>95</v>
      </c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</row>
    <row r="29" spans="1:31" ht="19" x14ac:dyDescent="0.25">
      <c r="A29" s="63" t="str">
        <f>IF(10&lt;=$B$16,10,"")</f>
        <v/>
      </c>
      <c r="B29" s="65"/>
      <c r="C29" s="65"/>
      <c r="D29" s="65"/>
      <c r="E29" s="85"/>
      <c r="F29" s="119"/>
      <c r="G29" s="119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</row>
    <row r="30" spans="1:31" ht="19" x14ac:dyDescent="0.25">
      <c r="A30" s="85"/>
      <c r="B30" s="85"/>
      <c r="C30" s="85"/>
      <c r="D30" s="85"/>
      <c r="E30" s="85"/>
      <c r="F30" s="85"/>
      <c r="G30" s="85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</row>
    <row r="31" spans="1:31" ht="19" x14ac:dyDescent="0.25">
      <c r="A31" s="52"/>
      <c r="B31" s="52"/>
      <c r="C31" s="52"/>
      <c r="D31" s="85"/>
      <c r="E31" s="85"/>
      <c r="F31" s="85"/>
      <c r="G31" s="85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</row>
    <row r="32" spans="1:31" ht="19" x14ac:dyDescent="0.25">
      <c r="A32" s="52"/>
      <c r="B32" s="52"/>
      <c r="C32" s="52"/>
      <c r="D32" s="85"/>
      <c r="E32" s="85"/>
      <c r="F32" s="85"/>
      <c r="G32" s="85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</row>
    <row r="33" spans="1:31" ht="19" x14ac:dyDescent="0.25">
      <c r="A33" s="85"/>
      <c r="B33" s="85"/>
      <c r="C33" s="85"/>
      <c r="D33" s="85"/>
      <c r="E33" s="85"/>
      <c r="F33" s="85"/>
      <c r="G33" s="85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</row>
    <row r="34" spans="1:31" x14ac:dyDescent="0.2">
      <c r="A34" s="52"/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</row>
    <row r="35" spans="1:31" x14ac:dyDescent="0.2">
      <c r="A35" s="52"/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</row>
    <row r="36" spans="1:31" x14ac:dyDescent="0.2">
      <c r="A36" s="52"/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</row>
    <row r="37" spans="1:31" x14ac:dyDescent="0.2">
      <c r="A37" s="52"/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</row>
    <row r="38" spans="1:31" x14ac:dyDescent="0.2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</row>
    <row r="39" spans="1:31" x14ac:dyDescent="0.2">
      <c r="A39" s="52"/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</row>
    <row r="40" spans="1:31" x14ac:dyDescent="0.2">
      <c r="A40" s="52"/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</row>
    <row r="41" spans="1:31" x14ac:dyDescent="0.2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</row>
    <row r="42" spans="1:31" x14ac:dyDescent="0.2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</row>
    <row r="43" spans="1:31" x14ac:dyDescent="0.2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</row>
    <row r="44" spans="1:31" x14ac:dyDescent="0.2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</row>
    <row r="45" spans="1:31" x14ac:dyDescent="0.2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</row>
    <row r="46" spans="1:31" x14ac:dyDescent="0.2">
      <c r="A46" s="52"/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</row>
    <row r="47" spans="1:31" x14ac:dyDescent="0.2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</row>
    <row r="48" spans="1:31" x14ac:dyDescent="0.2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</row>
    <row r="49" spans="1:31" x14ac:dyDescent="0.2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</row>
    <row r="50" spans="1:31" x14ac:dyDescent="0.2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</row>
    <row r="51" spans="1:31" x14ac:dyDescent="0.2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</row>
    <row r="52" spans="1:31" x14ac:dyDescent="0.2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</row>
    <row r="53" spans="1:31" x14ac:dyDescent="0.2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</row>
    <row r="54" spans="1:31" x14ac:dyDescent="0.2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</row>
    <row r="55" spans="1:31" x14ac:dyDescent="0.2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</row>
    <row r="56" spans="1:31" x14ac:dyDescent="0.2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</row>
    <row r="57" spans="1:31" x14ac:dyDescent="0.2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</row>
    <row r="58" spans="1:31" x14ac:dyDescent="0.2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</row>
    <row r="59" spans="1:31" x14ac:dyDescent="0.2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</row>
    <row r="60" spans="1:31" x14ac:dyDescent="0.2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</row>
    <row r="61" spans="1:31" x14ac:dyDescent="0.2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</row>
    <row r="62" spans="1:31" x14ac:dyDescent="0.2"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</row>
  </sheetData>
  <mergeCells count="19">
    <mergeCell ref="B7:G7"/>
    <mergeCell ref="F21:G29"/>
    <mergeCell ref="F19:G19"/>
    <mergeCell ref="A1:G1"/>
    <mergeCell ref="F18:G18"/>
    <mergeCell ref="B12:G12"/>
    <mergeCell ref="B13:G13"/>
    <mergeCell ref="B8:G8"/>
    <mergeCell ref="B9:G9"/>
    <mergeCell ref="C15:E15"/>
    <mergeCell ref="A16:A17"/>
    <mergeCell ref="B16:B17"/>
    <mergeCell ref="C16:D17"/>
    <mergeCell ref="E16:E17"/>
    <mergeCell ref="B2:G2"/>
    <mergeCell ref="B3:G3"/>
    <mergeCell ref="B4:G4"/>
    <mergeCell ref="B5:G5"/>
    <mergeCell ref="B6:G6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2C034B-0C19-9244-99A7-B4264365C73E}">
          <x14:formula1>
            <xm:f>'Nature of Work'!$A$2:$A$21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8AD77-9BEE-4D6F-B387-E7CBE3AF25C8}">
  <sheetPr codeName="Sheet1"/>
  <dimension ref="A1:W39"/>
  <sheetViews>
    <sheetView tabSelected="1" zoomScale="125" zoomScaleNormal="90" workbookViewId="0">
      <selection activeCell="L18" sqref="L18"/>
    </sheetView>
  </sheetViews>
  <sheetFormatPr baseColWidth="10" defaultColWidth="9.1640625" defaultRowHeight="15" x14ac:dyDescent="0.2"/>
  <cols>
    <col min="1" max="1" width="9.1640625" style="1"/>
    <col min="2" max="2" width="11" style="1" customWidth="1"/>
    <col min="3" max="3" width="10.5" style="1" customWidth="1"/>
    <col min="4" max="4" width="11" style="1" bestFit="1" customWidth="1"/>
    <col min="5" max="6" width="11.6640625" style="1" customWidth="1"/>
    <col min="7" max="9" width="12.33203125" style="1" customWidth="1"/>
    <col min="10" max="10" width="11.6640625" style="1" customWidth="1"/>
    <col min="11" max="11" width="6.6640625" style="1" hidden="1" customWidth="1"/>
    <col min="12" max="12" width="11.6640625" style="1" customWidth="1"/>
    <col min="13" max="13" width="3.6640625" style="1" customWidth="1"/>
    <col min="14" max="16" width="11.6640625" style="1" customWidth="1"/>
    <col min="17" max="16384" width="9.1640625" style="1"/>
  </cols>
  <sheetData>
    <row r="1" spans="1:23" ht="16" thickBot="1" x14ac:dyDescent="0.25">
      <c r="A1" s="204" t="s">
        <v>104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</row>
    <row r="2" spans="1:23" ht="35" customHeight="1" thickBot="1" x14ac:dyDescent="0.25">
      <c r="A2" s="188" t="s">
        <v>0</v>
      </c>
      <c r="B2" s="189"/>
      <c r="C2" s="194" t="s">
        <v>2</v>
      </c>
      <c r="D2" s="195"/>
      <c r="E2" s="195"/>
      <c r="F2" s="196"/>
      <c r="G2" s="201" t="s">
        <v>3</v>
      </c>
      <c r="H2" s="201"/>
      <c r="I2" s="202"/>
      <c r="J2" s="176" t="s">
        <v>103</v>
      </c>
      <c r="K2" s="177"/>
      <c r="L2" s="178"/>
      <c r="M2" s="39"/>
      <c r="N2" s="40" t="s">
        <v>22</v>
      </c>
      <c r="O2" s="39"/>
      <c r="P2" s="39"/>
      <c r="Q2" s="39"/>
      <c r="R2" s="39"/>
      <c r="S2" s="39"/>
      <c r="T2" s="39"/>
      <c r="U2" s="39"/>
      <c r="V2" s="39"/>
      <c r="W2" s="39"/>
    </row>
    <row r="3" spans="1:23" ht="34" thickTop="1" thickBot="1" x14ac:dyDescent="0.25">
      <c r="A3" s="190"/>
      <c r="B3" s="191"/>
      <c r="C3" s="8" t="s">
        <v>1</v>
      </c>
      <c r="D3" s="9" t="s">
        <v>25</v>
      </c>
      <c r="E3" s="9" t="s">
        <v>98</v>
      </c>
      <c r="F3" s="9" t="s">
        <v>26</v>
      </c>
      <c r="G3" s="203" t="s">
        <v>7</v>
      </c>
      <c r="H3" s="203"/>
      <c r="I3" s="4" t="s">
        <v>9</v>
      </c>
      <c r="J3" s="10" t="s">
        <v>18</v>
      </c>
      <c r="K3" s="11" t="s">
        <v>8</v>
      </c>
      <c r="L3" s="12" t="s">
        <v>19</v>
      </c>
      <c r="M3" s="39"/>
      <c r="N3" s="41">
        <v>10</v>
      </c>
      <c r="O3" s="39"/>
      <c r="P3" s="39"/>
      <c r="Q3" s="39"/>
      <c r="R3" s="39"/>
      <c r="S3" s="39"/>
      <c r="T3" s="39"/>
      <c r="U3" s="39"/>
      <c r="V3" s="39"/>
      <c r="W3" s="39"/>
    </row>
    <row r="4" spans="1:23" ht="17" thickTop="1" thickBot="1" x14ac:dyDescent="0.25">
      <c r="A4" s="192"/>
      <c r="B4" s="193"/>
      <c r="C4" s="44">
        <f>SUM(D4:F4)</f>
        <v>100</v>
      </c>
      <c r="D4" s="45">
        <f>Input!G15</f>
        <v>60</v>
      </c>
      <c r="E4" s="45">
        <f>Input!G16</f>
        <v>20</v>
      </c>
      <c r="F4" s="45">
        <f>Input!G17</f>
        <v>20</v>
      </c>
      <c r="G4" s="199" t="s">
        <v>4</v>
      </c>
      <c r="H4" s="199"/>
      <c r="I4" s="13">
        <v>0.9</v>
      </c>
      <c r="J4" s="5">
        <v>1</v>
      </c>
      <c r="K4" s="6">
        <f>IF(N4=TRUE,1.01066025239372,1.79070829973161)</f>
        <v>1.01066025239372</v>
      </c>
      <c r="L4" s="7">
        <v>8</v>
      </c>
      <c r="M4" s="39"/>
      <c r="N4" s="92" t="b">
        <v>1</v>
      </c>
      <c r="O4" s="39"/>
      <c r="P4" s="39"/>
      <c r="Q4" s="39"/>
      <c r="R4" s="39"/>
      <c r="S4" s="39"/>
      <c r="T4" s="39"/>
      <c r="U4" s="39"/>
      <c r="V4" s="39"/>
      <c r="W4" s="39"/>
    </row>
    <row r="5" spans="1:23" ht="15.75" customHeight="1" thickBot="1" x14ac:dyDescent="0.25">
      <c r="A5" s="151"/>
      <c r="B5" s="152"/>
      <c r="C5" s="164" t="s">
        <v>99</v>
      </c>
      <c r="D5" s="165"/>
      <c r="E5" s="165"/>
      <c r="F5" s="166"/>
      <c r="G5" s="199" t="s">
        <v>5</v>
      </c>
      <c r="H5" s="199"/>
      <c r="I5" s="13">
        <v>1</v>
      </c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</row>
    <row r="6" spans="1:23" ht="19" customHeight="1" thickTop="1" thickBot="1" x14ac:dyDescent="0.25">
      <c r="A6" s="153"/>
      <c r="B6" s="154"/>
      <c r="C6" s="167"/>
      <c r="D6" s="168"/>
      <c r="E6" s="168"/>
      <c r="F6" s="169"/>
      <c r="G6" s="200" t="s">
        <v>6</v>
      </c>
      <c r="H6" s="200"/>
      <c r="I6" s="13">
        <v>0.5</v>
      </c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</row>
    <row r="7" spans="1:23" ht="10.5" customHeight="1" thickTop="1" thickBot="1" x14ac:dyDescent="0.25">
      <c r="A7" s="179" t="b">
        <v>1</v>
      </c>
      <c r="B7" s="180"/>
      <c r="C7" s="167"/>
      <c r="D7" s="168"/>
      <c r="E7" s="168"/>
      <c r="F7" s="169"/>
      <c r="G7" s="197" t="s">
        <v>10</v>
      </c>
      <c r="H7" s="197"/>
      <c r="I7" s="198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</row>
    <row r="8" spans="1:23" ht="10.5" customHeight="1" thickTop="1" thickBot="1" x14ac:dyDescent="0.25">
      <c r="A8" s="181"/>
      <c r="B8" s="182"/>
      <c r="C8" s="167"/>
      <c r="D8" s="168"/>
      <c r="E8" s="168"/>
      <c r="F8" s="169"/>
      <c r="G8" s="197"/>
      <c r="H8" s="197"/>
      <c r="I8" s="198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</row>
    <row r="9" spans="1:23" ht="19" customHeight="1" thickTop="1" thickBot="1" x14ac:dyDescent="0.25">
      <c r="A9" s="183"/>
      <c r="B9" s="184"/>
      <c r="C9" s="170"/>
      <c r="D9" s="171"/>
      <c r="E9" s="171"/>
      <c r="F9" s="172"/>
      <c r="G9" s="43"/>
      <c r="H9" s="43"/>
      <c r="I9" s="43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</row>
    <row r="10" spans="1:23" ht="8" customHeight="1" x14ac:dyDescent="0.2">
      <c r="A10" s="91"/>
      <c r="B10" s="37"/>
      <c r="C10" s="39"/>
      <c r="D10" s="39"/>
      <c r="E10" s="39"/>
      <c r="F10" s="39"/>
      <c r="G10" s="43"/>
      <c r="H10" s="43"/>
      <c r="I10" s="43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</row>
    <row r="11" spans="1:23" ht="6" customHeight="1" thickBot="1" x14ac:dyDescent="0.25">
      <c r="A11" s="37"/>
      <c r="B11" s="37"/>
      <c r="C11" s="39"/>
      <c r="D11" s="39"/>
      <c r="E11" s="39"/>
      <c r="F11" s="39"/>
      <c r="G11" s="43"/>
      <c r="H11" s="43"/>
      <c r="I11" s="43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</row>
    <row r="12" spans="1:23" ht="27" thickBot="1" x14ac:dyDescent="0.25">
      <c r="A12" s="37"/>
      <c r="B12" s="185" t="s">
        <v>102</v>
      </c>
      <c r="C12" s="186"/>
      <c r="D12" s="186"/>
      <c r="E12" s="186"/>
      <c r="F12" s="186"/>
      <c r="G12" s="186"/>
      <c r="H12" s="186"/>
      <c r="I12" s="186"/>
      <c r="J12" s="187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</row>
    <row r="13" spans="1:23" ht="13" customHeight="1" thickBot="1" x14ac:dyDescent="0.25">
      <c r="A13" s="38"/>
      <c r="B13" s="14"/>
      <c r="C13" s="15"/>
      <c r="D13" s="16"/>
      <c r="E13" s="173" t="s">
        <v>24</v>
      </c>
      <c r="F13" s="174"/>
      <c r="G13" s="174"/>
      <c r="H13" s="174"/>
      <c r="I13" s="174"/>
      <c r="J13" s="17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</row>
    <row r="14" spans="1:23" ht="13" customHeight="1" thickBot="1" x14ac:dyDescent="0.25">
      <c r="A14" s="39"/>
      <c r="B14" s="17"/>
      <c r="C14" s="18"/>
      <c r="D14" s="19"/>
      <c r="E14" s="20" t="s">
        <v>11</v>
      </c>
      <c r="F14" s="21" t="s">
        <v>12</v>
      </c>
      <c r="G14" s="22" t="s">
        <v>13</v>
      </c>
      <c r="H14" s="23" t="s">
        <v>14</v>
      </c>
      <c r="I14" s="24" t="s">
        <v>15</v>
      </c>
      <c r="J14" s="25" t="s">
        <v>16</v>
      </c>
      <c r="K14" s="42"/>
      <c r="L14" s="42"/>
      <c r="M14" s="42"/>
      <c r="N14" s="42"/>
      <c r="O14" s="42"/>
      <c r="P14" s="42"/>
      <c r="Q14" s="39"/>
      <c r="R14" s="39"/>
      <c r="S14" s="39"/>
      <c r="T14" s="39"/>
      <c r="U14" s="39"/>
      <c r="V14" s="39"/>
      <c r="W14" s="39"/>
    </row>
    <row r="15" spans="1:23" ht="16" thickBot="1" x14ac:dyDescent="0.25">
      <c r="A15" s="39"/>
      <c r="B15" s="155" t="s">
        <v>96</v>
      </c>
      <c r="C15" s="156"/>
      <c r="D15" s="157"/>
      <c r="E15" s="26">
        <v>8.4964380132276224E-2</v>
      </c>
      <c r="F15" s="27">
        <v>0.28790781140157556</v>
      </c>
      <c r="G15" s="27">
        <v>0.47398421132918167</v>
      </c>
      <c r="H15" s="27">
        <v>0.60372727098592949</v>
      </c>
      <c r="I15" s="27">
        <v>0.7002221497595803</v>
      </c>
      <c r="J15" s="28">
        <v>0.77836104122532679</v>
      </c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</row>
    <row r="16" spans="1:23" ht="16" thickBot="1" x14ac:dyDescent="0.25">
      <c r="A16" s="39"/>
      <c r="B16" s="158" t="s">
        <v>97</v>
      </c>
      <c r="C16" s="159"/>
      <c r="D16" s="160"/>
      <c r="E16" s="29">
        <v>6.2270951399496809E-2</v>
      </c>
      <c r="F16" s="3">
        <v>0.21196561395969346</v>
      </c>
      <c r="G16" s="3">
        <v>0.35434366531824096</v>
      </c>
      <c r="H16" s="3">
        <v>0.47198470474513421</v>
      </c>
      <c r="I16" s="3">
        <v>0.57128387008806381</v>
      </c>
      <c r="J16" s="30">
        <v>0.63731247631622101</v>
      </c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</row>
    <row r="17" spans="1:23" ht="16" thickBot="1" x14ac:dyDescent="0.25">
      <c r="A17" s="39"/>
      <c r="B17" s="161" t="s">
        <v>101</v>
      </c>
      <c r="C17" s="162"/>
      <c r="D17" s="163"/>
      <c r="E17" s="35">
        <v>7.359346397867883E-2</v>
      </c>
      <c r="F17" s="2">
        <v>0.227535832124483</v>
      </c>
      <c r="G17" s="2">
        <v>0.36625958247141205</v>
      </c>
      <c r="H17" s="2">
        <v>0.48376989372071788</v>
      </c>
      <c r="I17" s="2">
        <v>0.57776227888700971</v>
      </c>
      <c r="J17" s="31">
        <v>0.64773452468716675</v>
      </c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</row>
    <row r="18" spans="1:23" ht="16" thickBot="1" x14ac:dyDescent="0.25">
      <c r="A18" s="39"/>
      <c r="B18" s="149" t="s">
        <v>20</v>
      </c>
      <c r="C18" s="150"/>
      <c r="D18" s="150"/>
      <c r="E18" s="36" t="s">
        <v>21</v>
      </c>
      <c r="F18" s="32" t="s">
        <v>21</v>
      </c>
      <c r="G18" s="32" t="s">
        <v>21</v>
      </c>
      <c r="H18" s="32" t="s">
        <v>21</v>
      </c>
      <c r="I18" s="32" t="s">
        <v>21</v>
      </c>
      <c r="J18" s="33" t="s">
        <v>21</v>
      </c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</row>
    <row r="19" spans="1:23" ht="16" thickBot="1" x14ac:dyDescent="0.25">
      <c r="A19" s="39"/>
      <c r="B19" s="17"/>
      <c r="C19" s="18"/>
      <c r="D19" s="19"/>
      <c r="E19" s="34" t="s">
        <v>11</v>
      </c>
      <c r="F19" s="21" t="s">
        <v>12</v>
      </c>
      <c r="G19" s="22" t="s">
        <v>13</v>
      </c>
      <c r="H19" s="23" t="s">
        <v>14</v>
      </c>
      <c r="I19" s="24" t="s">
        <v>15</v>
      </c>
      <c r="J19" s="25" t="s">
        <v>16</v>
      </c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</row>
    <row r="20" spans="1:23" ht="23" customHeight="1" thickBot="1" x14ac:dyDescent="0.25">
      <c r="A20" s="39"/>
      <c r="B20" s="146" t="s">
        <v>17</v>
      </c>
      <c r="C20" s="147"/>
      <c r="D20" s="148"/>
      <c r="E20" s="87">
        <v>8.1843549378772291</v>
      </c>
      <c r="F20" s="88">
        <v>24.097545649426703</v>
      </c>
      <c r="G20" s="88">
        <v>38.180088210850784</v>
      </c>
      <c r="H20" s="88">
        <v>49.009566293502054</v>
      </c>
      <c r="I20" s="88">
        <v>57.544858186545731</v>
      </c>
      <c r="J20" s="89">
        <v>64.978450640440215</v>
      </c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</row>
    <row r="21" spans="1:23" ht="16" thickBot="1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</row>
    <row r="22" spans="1:23" ht="26" x14ac:dyDescent="0.2">
      <c r="A22" s="39"/>
      <c r="B22" s="134" t="s">
        <v>64</v>
      </c>
      <c r="C22" s="135"/>
      <c r="D22" s="135"/>
      <c r="E22" s="135"/>
      <c r="F22" s="135"/>
      <c r="G22" s="135"/>
      <c r="H22" s="135"/>
      <c r="I22" s="135"/>
      <c r="J22" s="136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</row>
    <row r="23" spans="1:23" ht="60" customHeight="1" x14ac:dyDescent="0.2">
      <c r="A23" s="39"/>
      <c r="B23" s="205" t="s">
        <v>105</v>
      </c>
      <c r="C23" s="206"/>
      <c r="D23" s="206"/>
      <c r="E23" s="207" t="s">
        <v>106</v>
      </c>
      <c r="F23" s="207"/>
      <c r="G23" s="207"/>
      <c r="H23" s="207"/>
      <c r="I23" s="207" t="s">
        <v>66</v>
      </c>
      <c r="J23" s="208"/>
      <c r="K23" s="39"/>
      <c r="L23" s="39"/>
      <c r="M23" s="39"/>
      <c r="N23" s="39" t="s">
        <v>23</v>
      </c>
      <c r="O23" s="39"/>
      <c r="P23" s="39"/>
      <c r="Q23" s="39"/>
      <c r="R23" s="39"/>
      <c r="S23" s="39"/>
      <c r="T23" s="39"/>
      <c r="U23" s="39"/>
      <c r="V23" s="39"/>
      <c r="W23" s="39"/>
    </row>
    <row r="24" spans="1:23" ht="16" x14ac:dyDescent="0.2">
      <c r="A24" s="39"/>
      <c r="B24" s="141">
        <f>Input!B15</f>
        <v>100</v>
      </c>
      <c r="C24" s="142"/>
      <c r="D24" s="142"/>
      <c r="E24" s="129">
        <f>T_0</f>
        <v>2.7005955401749406</v>
      </c>
      <c r="F24" s="129"/>
      <c r="G24" s="129"/>
      <c r="H24" s="129"/>
      <c r="I24" s="129">
        <f>R_0</f>
        <v>1.8822374999999996</v>
      </c>
      <c r="J24" s="143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</row>
    <row r="25" spans="1:23" ht="16" x14ac:dyDescent="0.2">
      <c r="A25" s="39"/>
      <c r="B25" s="137">
        <f>B24*0.8</f>
        <v>80</v>
      </c>
      <c r="C25" s="138"/>
      <c r="D25" s="138"/>
      <c r="E25" s="130">
        <f>T_1</f>
        <v>3.439823063986708</v>
      </c>
      <c r="F25" s="130"/>
      <c r="G25" s="130"/>
      <c r="H25" s="130"/>
      <c r="I25" s="130">
        <f>R_1</f>
        <v>1.50579</v>
      </c>
      <c r="J25" s="144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</row>
    <row r="26" spans="1:23" ht="16" x14ac:dyDescent="0.2">
      <c r="A26" s="39"/>
      <c r="B26" s="139">
        <f>B24*0.6</f>
        <v>60</v>
      </c>
      <c r="C26" s="140"/>
      <c r="D26" s="140"/>
      <c r="E26" s="131">
        <f>T_2</f>
        <v>18.930189836491479</v>
      </c>
      <c r="F26" s="131"/>
      <c r="G26" s="131"/>
      <c r="H26" s="131"/>
      <c r="I26" s="131">
        <f>R_2</f>
        <v>1.1293424999999997</v>
      </c>
      <c r="J26" s="145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</row>
    <row r="27" spans="1:23" ht="16" x14ac:dyDescent="0.2">
      <c r="A27" s="39"/>
      <c r="B27" s="127">
        <f>B24*0.4</f>
        <v>40</v>
      </c>
      <c r="C27" s="128"/>
      <c r="D27" s="128"/>
      <c r="E27" s="132" t="str">
        <f>T_3</f>
        <v>NO OUTBREAK</v>
      </c>
      <c r="F27" s="132"/>
      <c r="G27" s="132"/>
      <c r="H27" s="132"/>
      <c r="I27" s="132">
        <f>R_3</f>
        <v>0.75289499999999998</v>
      </c>
      <c r="J27" s="133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</row>
    <row r="28" spans="1:23" ht="17" thickBot="1" x14ac:dyDescent="0.25">
      <c r="A28" s="39"/>
      <c r="B28" s="122">
        <f>B24*0.2</f>
        <v>20</v>
      </c>
      <c r="C28" s="123"/>
      <c r="D28" s="123"/>
      <c r="E28" s="124" t="str">
        <f>T_5</f>
        <v>NO OUTBREAK</v>
      </c>
      <c r="F28" s="124"/>
      <c r="G28" s="124"/>
      <c r="H28" s="124"/>
      <c r="I28" s="125">
        <f>R_4</f>
        <v>0.38109499999999985</v>
      </c>
      <c r="J28" s="126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</row>
    <row r="29" spans="1:23" x14ac:dyDescent="0.2">
      <c r="A29" s="39"/>
      <c r="B29" s="204" t="s">
        <v>107</v>
      </c>
      <c r="C29" s="39"/>
      <c r="D29" s="39"/>
      <c r="E29" s="204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</row>
    <row r="30" spans="1:23" x14ac:dyDescent="0.2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</row>
    <row r="31" spans="1:23" x14ac:dyDescent="0.2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</row>
    <row r="32" spans="1:23" x14ac:dyDescent="0.2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</row>
    <row r="33" spans="1:23" x14ac:dyDescent="0.2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</row>
    <row r="34" spans="1:23" x14ac:dyDescent="0.2">
      <c r="A34" s="39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</row>
    <row r="35" spans="1:23" x14ac:dyDescent="0.2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</row>
    <row r="36" spans="1:23" x14ac:dyDescent="0.2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</row>
    <row r="37" spans="1:23" x14ac:dyDescent="0.2">
      <c r="A37" s="39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</row>
    <row r="38" spans="1:23" x14ac:dyDescent="0.2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</row>
    <row r="39" spans="1:23" x14ac:dyDescent="0.2">
      <c r="A39" s="39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</row>
  </sheetData>
  <mergeCells count="38">
    <mergeCell ref="J2:L2"/>
    <mergeCell ref="A7:B9"/>
    <mergeCell ref="B12:J12"/>
    <mergeCell ref="A2:B4"/>
    <mergeCell ref="C2:F2"/>
    <mergeCell ref="G7:I8"/>
    <mergeCell ref="G4:H4"/>
    <mergeCell ref="G5:H5"/>
    <mergeCell ref="G6:H6"/>
    <mergeCell ref="G2:I2"/>
    <mergeCell ref="G3:H3"/>
    <mergeCell ref="B20:D20"/>
    <mergeCell ref="B18:D18"/>
    <mergeCell ref="A5:B6"/>
    <mergeCell ref="B15:D15"/>
    <mergeCell ref="B16:D16"/>
    <mergeCell ref="B17:D17"/>
    <mergeCell ref="C5:F9"/>
    <mergeCell ref="E13:J13"/>
    <mergeCell ref="B22:J22"/>
    <mergeCell ref="B25:D25"/>
    <mergeCell ref="B26:D26"/>
    <mergeCell ref="B23:D23"/>
    <mergeCell ref="E23:H23"/>
    <mergeCell ref="I23:J23"/>
    <mergeCell ref="B24:D24"/>
    <mergeCell ref="I24:J24"/>
    <mergeCell ref="I25:J25"/>
    <mergeCell ref="I26:J26"/>
    <mergeCell ref="B28:D28"/>
    <mergeCell ref="E28:H28"/>
    <mergeCell ref="I28:J28"/>
    <mergeCell ref="B27:D27"/>
    <mergeCell ref="E24:H24"/>
    <mergeCell ref="E25:H25"/>
    <mergeCell ref="E26:H26"/>
    <mergeCell ref="E27:H27"/>
    <mergeCell ref="I27:J27"/>
  </mergeCell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mulate">
                <anchor moveWithCells="1" sizeWithCells="1">
                  <from>
                    <xdr:col>0</xdr:col>
                    <xdr:colOff>139700</xdr:colOff>
                    <xdr:row>4</xdr:row>
                    <xdr:rowOff>50800</xdr:rowOff>
                  </from>
                  <to>
                    <xdr:col>1</xdr:col>
                    <xdr:colOff>635000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5" name="Check Box 3">
              <controlPr defaultSize="0" autoFill="0" autoLine="0" autoPict="0" macro="[0]!CheckBox3_Click">
                <anchor>
                  <from>
                    <xdr:col>0</xdr:col>
                    <xdr:colOff>25400</xdr:colOff>
                    <xdr:row>6</xdr:row>
                    <xdr:rowOff>88900</xdr:rowOff>
                  </from>
                  <to>
                    <xdr:col>0</xdr:col>
                    <xdr:colOff>355600</xdr:colOff>
                    <xdr:row>8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C9743-EB67-874C-8151-99F642A14ED0}">
  <sheetPr codeName="Sheet3"/>
  <dimension ref="A1:AF41"/>
  <sheetViews>
    <sheetView workbookViewId="0">
      <selection activeCell="C30" sqref="C30"/>
    </sheetView>
  </sheetViews>
  <sheetFormatPr baseColWidth="10" defaultColWidth="11.5" defaultRowHeight="15" x14ac:dyDescent="0.2"/>
  <cols>
    <col min="1" max="1" width="96" bestFit="1" customWidth="1"/>
    <col min="2" max="2" width="15.5" bestFit="1" customWidth="1"/>
  </cols>
  <sheetData>
    <row r="1" spans="1:32" x14ac:dyDescent="0.2">
      <c r="A1" s="46" t="s">
        <v>35</v>
      </c>
      <c r="B1" s="47" t="s">
        <v>36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</row>
    <row r="2" spans="1:32" x14ac:dyDescent="0.2">
      <c r="A2" s="48" t="s">
        <v>37</v>
      </c>
      <c r="B2" s="49">
        <v>1.0708833333333334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</row>
    <row r="3" spans="1:32" x14ac:dyDescent="0.2">
      <c r="A3" s="48" t="s">
        <v>38</v>
      </c>
      <c r="B3" s="49">
        <v>1.0056666666666667</v>
      </c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</row>
    <row r="4" spans="1:32" x14ac:dyDescent="0.2">
      <c r="A4" s="48" t="s">
        <v>39</v>
      </c>
      <c r="B4" s="49">
        <v>0.81361274509803927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</row>
    <row r="5" spans="1:32" x14ac:dyDescent="0.2">
      <c r="A5" s="48" t="s">
        <v>40</v>
      </c>
      <c r="B5" s="49">
        <v>0.7728790322580642</v>
      </c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</row>
    <row r="6" spans="1:32" x14ac:dyDescent="0.2">
      <c r="A6" s="48" t="s">
        <v>41</v>
      </c>
      <c r="B6" s="49">
        <v>1.0319042553191486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</row>
    <row r="7" spans="1:32" x14ac:dyDescent="0.2">
      <c r="A7" s="48" t="s">
        <v>42</v>
      </c>
      <c r="B7" s="49">
        <v>0.96003679245282969</v>
      </c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</row>
    <row r="8" spans="1:32" x14ac:dyDescent="0.2">
      <c r="A8" s="48" t="s">
        <v>43</v>
      </c>
      <c r="B8" s="49">
        <v>1.1271810344827584</v>
      </c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</row>
    <row r="9" spans="1:32" x14ac:dyDescent="0.2">
      <c r="A9" s="48" t="s">
        <v>44</v>
      </c>
      <c r="B9" s="49">
        <v>0.89479444444444434</v>
      </c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</row>
    <row r="10" spans="1:32" x14ac:dyDescent="0.2">
      <c r="A10" s="48" t="s">
        <v>45</v>
      </c>
      <c r="B10" s="49">
        <v>0.69712499999999988</v>
      </c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</row>
    <row r="11" spans="1:32" x14ac:dyDescent="0.2">
      <c r="A11" s="48" t="s">
        <v>46</v>
      </c>
      <c r="B11" s="49">
        <v>2.9755935999999998</v>
      </c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</row>
    <row r="12" spans="1:32" x14ac:dyDescent="0.2">
      <c r="A12" s="48" t="s">
        <v>47</v>
      </c>
      <c r="B12" s="49">
        <v>0.69912888888888891</v>
      </c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</row>
    <row r="13" spans="1:32" x14ac:dyDescent="0.2">
      <c r="A13" s="48" t="s">
        <v>48</v>
      </c>
      <c r="B13" s="49">
        <v>0.67945144927536183</v>
      </c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</row>
    <row r="14" spans="1:32" x14ac:dyDescent="0.2">
      <c r="A14" s="48" t="s">
        <v>49</v>
      </c>
      <c r="B14" s="49">
        <v>0.81296923076923078</v>
      </c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</row>
    <row r="15" spans="1:32" x14ac:dyDescent="0.2">
      <c r="A15" s="48" t="s">
        <v>50</v>
      </c>
      <c r="B15" s="49">
        <v>1.4592018518518519</v>
      </c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</row>
    <row r="16" spans="1:32" x14ac:dyDescent="0.2">
      <c r="A16" s="48" t="s">
        <v>51</v>
      </c>
      <c r="B16" s="49">
        <v>0.73930818181818236</v>
      </c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</row>
    <row r="17" spans="1:32" x14ac:dyDescent="0.2">
      <c r="A17" s="48" t="s">
        <v>52</v>
      </c>
      <c r="B17" s="49">
        <v>1.6256333333333335</v>
      </c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</row>
    <row r="18" spans="1:32" x14ac:dyDescent="0.2">
      <c r="A18" s="48" t="s">
        <v>53</v>
      </c>
      <c r="B18" s="49">
        <v>0.62887999999999999</v>
      </c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</row>
    <row r="19" spans="1:32" x14ac:dyDescent="0.2">
      <c r="A19" s="48" t="s">
        <v>54</v>
      </c>
      <c r="B19" s="49">
        <v>1.0464285714285715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</row>
    <row r="20" spans="1:32" x14ac:dyDescent="0.2">
      <c r="A20" s="48" t="s">
        <v>55</v>
      </c>
      <c r="B20" s="49">
        <v>1.2920541666666665</v>
      </c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</row>
    <row r="21" spans="1:32" ht="16" thickBot="1" x14ac:dyDescent="0.25">
      <c r="A21" s="50" t="s">
        <v>56</v>
      </c>
      <c r="B21" s="51">
        <v>0.76124999999999998</v>
      </c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</row>
    <row r="22" spans="1:32" x14ac:dyDescent="0.2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</row>
    <row r="23" spans="1:32" x14ac:dyDescent="0.2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</row>
    <row r="24" spans="1:32" x14ac:dyDescent="0.2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</row>
    <row r="25" spans="1:32" x14ac:dyDescent="0.2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</row>
    <row r="26" spans="1:32" x14ac:dyDescent="0.2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</row>
    <row r="27" spans="1:32" x14ac:dyDescent="0.2">
      <c r="A27" s="52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</row>
    <row r="28" spans="1:32" x14ac:dyDescent="0.2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</row>
    <row r="29" spans="1:32" x14ac:dyDescent="0.2">
      <c r="A29" s="52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</row>
    <row r="30" spans="1:32" x14ac:dyDescent="0.2">
      <c r="A30" s="52"/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</row>
    <row r="31" spans="1:32" x14ac:dyDescent="0.2">
      <c r="A31" s="52"/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</row>
    <row r="32" spans="1:32" x14ac:dyDescent="0.2">
      <c r="A32" s="52"/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</row>
    <row r="33" spans="1:32" x14ac:dyDescent="0.2">
      <c r="A33" s="52"/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</row>
    <row r="34" spans="1:32" x14ac:dyDescent="0.2">
      <c r="A34" s="52"/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</row>
    <row r="35" spans="1:32" x14ac:dyDescent="0.2">
      <c r="A35" s="52"/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</row>
    <row r="36" spans="1:32" x14ac:dyDescent="0.2">
      <c r="A36" s="52"/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</row>
    <row r="37" spans="1:32" x14ac:dyDescent="0.2">
      <c r="A37" s="52"/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</row>
    <row r="38" spans="1:32" x14ac:dyDescent="0.2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</row>
    <row r="39" spans="1:32" x14ac:dyDescent="0.2">
      <c r="A39" s="52"/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</row>
    <row r="40" spans="1:32" x14ac:dyDescent="0.2">
      <c r="A40" s="52"/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</row>
    <row r="41" spans="1:32" x14ac:dyDescent="0.2">
      <c r="A41" s="52"/>
      <c r="B41" s="52"/>
    </row>
  </sheetData>
  <sheetProtection algorithmName="SHA-512" hashValue="/xOtx1hVe00MxazDF+LW9FwUFTzPtI37TCG00GuEL3PmWqbsFjMA/ycr+JxNtyixqX2HgZiJ5AlJtkSjzlIOZw==" saltValue="QNFw8lNoQbswNin3VjTJ/w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BC604-243C-8248-ADD2-AAEE595DD25A}">
  <sheetPr codeName="Sheet4"/>
  <dimension ref="A3:M69"/>
  <sheetViews>
    <sheetView showGridLines="0" workbookViewId="0">
      <selection activeCell="M6" sqref="M6"/>
    </sheetView>
  </sheetViews>
  <sheetFormatPr baseColWidth="10" defaultColWidth="11.5" defaultRowHeight="15" x14ac:dyDescent="0.2"/>
  <cols>
    <col min="1" max="1" width="11.5" customWidth="1"/>
    <col min="2" max="2" width="14.1640625" customWidth="1"/>
    <col min="3" max="5" width="11.5" customWidth="1"/>
    <col min="6" max="6" width="13" customWidth="1"/>
    <col min="7" max="7" width="22.33203125" customWidth="1"/>
    <col min="8" max="9" width="11.5" customWidth="1"/>
    <col min="10" max="10" width="16.5" customWidth="1"/>
    <col min="11" max="11" width="1.6640625" customWidth="1"/>
    <col min="12" max="12" width="11.5" customWidth="1"/>
    <col min="13" max="13" width="13.83203125" customWidth="1"/>
    <col min="14" max="16" width="11.5" customWidth="1"/>
  </cols>
  <sheetData>
    <row r="3" spans="2:13" ht="32" x14ac:dyDescent="0.2">
      <c r="B3" s="67" t="s">
        <v>67</v>
      </c>
      <c r="C3" s="68" t="s">
        <v>68</v>
      </c>
      <c r="D3" s="67" t="s">
        <v>69</v>
      </c>
      <c r="E3" s="68" t="s">
        <v>70</v>
      </c>
      <c r="F3" s="67" t="s">
        <v>71</v>
      </c>
      <c r="G3" s="67" t="s">
        <v>72</v>
      </c>
    </row>
    <row r="4" spans="2:13" x14ac:dyDescent="0.2">
      <c r="B4" s="69">
        <f>Input!$A$20</f>
        <v>1</v>
      </c>
      <c r="C4" s="70">
        <f>IF(B4="", 0, Input!$B$20)</f>
        <v>100</v>
      </c>
      <c r="D4" s="73">
        <f>IF(B4="", 0, Input!$C$20)</f>
        <v>55</v>
      </c>
      <c r="E4" s="70">
        <f>IF(C4=0, "", D4/C4)</f>
        <v>0.55000000000000004</v>
      </c>
      <c r="F4" s="70">
        <f>IF(C4=0,"", IF(Input!$D$20&lt;=1, 1, Input!$D$20))</f>
        <v>10</v>
      </c>
      <c r="G4" s="70">
        <f>IF(C4=0,"",(1-(1/F4))*D4*(E4/4))</f>
        <v>6.8062500000000004</v>
      </c>
      <c r="I4" s="71" t="s">
        <v>73</v>
      </c>
      <c r="J4" s="70">
        <f>AVERAGE(G4:G13)</f>
        <v>2.8093902625152629</v>
      </c>
      <c r="L4" s="69" t="s">
        <v>76</v>
      </c>
      <c r="M4" s="70">
        <f>(Input!$E$16)/5</f>
        <v>0.13942499999999997</v>
      </c>
    </row>
    <row r="5" spans="2:13" x14ac:dyDescent="0.2">
      <c r="B5" s="69">
        <f>Input!$A$21</f>
        <v>2</v>
      </c>
      <c r="C5" s="70">
        <f>IF(B5="", 0, Input!$B$21)</f>
        <v>65</v>
      </c>
      <c r="D5" s="73">
        <f>IF(B5="", 0, Input!$C$21)</f>
        <v>15</v>
      </c>
      <c r="E5" s="70">
        <f t="shared" ref="E5:E12" si="0">IF(C5=0, "", D5/C5)</f>
        <v>0.23076923076923078</v>
      </c>
      <c r="F5" s="70">
        <f>IF(C5=0,"", IF(Input!$D$21&lt;=1, 1, Input!$D$21))</f>
        <v>7</v>
      </c>
      <c r="G5" s="70">
        <f t="shared" ref="G5:G13" si="1">IF(C5=0,"",(1-(1/F5))*D5*(E5/4))</f>
        <v>0.74175824175824179</v>
      </c>
      <c r="I5" s="72"/>
      <c r="J5" s="70">
        <f>_xlfn.VAR.P(G4:G13)</f>
        <v>6.4162675411334318</v>
      </c>
      <c r="L5" s="70"/>
      <c r="M5" s="70">
        <f>M4*AVERAGE(F4:F13)</f>
        <v>1.8822374999999996</v>
      </c>
    </row>
    <row r="6" spans="2:13" x14ac:dyDescent="0.2">
      <c r="B6" s="69">
        <f>Input!$A$22</f>
        <v>3</v>
      </c>
      <c r="C6" s="70">
        <f>IF(B6="", 0, Input!$B$22)</f>
        <v>65</v>
      </c>
      <c r="D6" s="73">
        <f>IF(B6="", 0, Input!$C$22)</f>
        <v>20</v>
      </c>
      <c r="E6" s="70">
        <f t="shared" si="0"/>
        <v>0.30769230769230771</v>
      </c>
      <c r="F6" s="70">
        <f>IF(C6=0,"", IF(Input!$D$22&lt;=1, 1, Input!$D$22))</f>
        <v>40</v>
      </c>
      <c r="G6" s="70">
        <f t="shared" si="1"/>
        <v>1.5</v>
      </c>
      <c r="I6" s="69" t="s">
        <v>74</v>
      </c>
      <c r="J6" s="70">
        <f>(ABS((J4^2)-(J5/COUNT(G4:G13))))/(J5-J4)</f>
        <v>1.8917460164343083</v>
      </c>
      <c r="L6" s="69" t="s">
        <v>77</v>
      </c>
      <c r="M6" s="70">
        <f>(0.334+(0.689/J6)+(0.408/M5)-(0.507/(J6*M5))-(0.356/(M5^2))+(0.467/(J6*(M5^2))))</f>
        <v>0.74178451813135882</v>
      </c>
    </row>
    <row r="7" spans="2:13" x14ac:dyDescent="0.2">
      <c r="B7" s="69">
        <f>Input!$A$23</f>
        <v>4</v>
      </c>
      <c r="C7" s="70">
        <f>IF(B7="", 0, Input!$B$23)</f>
        <v>50</v>
      </c>
      <c r="D7" s="73">
        <f>IF(B7="", 0, Input!$C$23)</f>
        <v>10</v>
      </c>
      <c r="E7" s="70">
        <f t="shared" si="0"/>
        <v>0.2</v>
      </c>
      <c r="F7" s="70">
        <f>IF(C7=0,"", IF(Input!$D$23&lt;=1, 1, Input!$D$23))</f>
        <v>4</v>
      </c>
      <c r="G7" s="70">
        <f t="shared" si="1"/>
        <v>0.375</v>
      </c>
      <c r="I7" s="69" t="s">
        <v>75</v>
      </c>
      <c r="J7" s="70" t="str">
        <f>IF(J5&gt;J4, "HETEROGENEOUS","HOMOGENEOUS")</f>
        <v>HETEROGENEOUS</v>
      </c>
      <c r="L7" s="70" t="s">
        <v>65</v>
      </c>
      <c r="M7" s="70">
        <f>IF(M5&lt;=1, "NO OUTBREAK", IF(J7="HETEROGENEOUS",(-LOG(0.1)/LOG(M5))*M6,-LOG(0.1)/LOG(M5)))</f>
        <v>2.7005955401749406</v>
      </c>
    </row>
    <row r="8" spans="2:13" x14ac:dyDescent="0.2">
      <c r="B8" s="69">
        <f>Input!$A$24</f>
        <v>5</v>
      </c>
      <c r="C8" s="70">
        <f>IF(B8="", 0, Input!$B$24)</f>
        <v>50</v>
      </c>
      <c r="D8" s="73">
        <f>IF(B8="", 0, Input!$C$24)</f>
        <v>20</v>
      </c>
      <c r="E8" s="70">
        <f t="shared" si="0"/>
        <v>0.4</v>
      </c>
      <c r="F8" s="70">
        <f>IF(C8=0,"", IF(Input!$D$24&lt;=1, 1, Input!$D$24))</f>
        <v>5</v>
      </c>
      <c r="G8" s="70">
        <f t="shared" si="1"/>
        <v>1.6</v>
      </c>
      <c r="I8" s="75"/>
      <c r="J8" s="76"/>
      <c r="L8" s="76"/>
      <c r="M8" s="76"/>
    </row>
    <row r="9" spans="2:13" x14ac:dyDescent="0.2">
      <c r="B9" s="69">
        <f>Input!$A$25</f>
        <v>6</v>
      </c>
      <c r="C9" s="70">
        <f>IF(B9="", 0, Input!$B$25)</f>
        <v>100</v>
      </c>
      <c r="D9" s="73">
        <f>IF(B9="", 0, Input!$C$25)</f>
        <v>50</v>
      </c>
      <c r="E9" s="70">
        <f>IF(C9=0, "", D9/C9)</f>
        <v>0.5</v>
      </c>
      <c r="F9" s="70">
        <f>IF(C9=0,"", IF(Input!$D$25&lt;=1, 1, Input!$D$25))</f>
        <v>15</v>
      </c>
      <c r="G9" s="70">
        <f t="shared" si="1"/>
        <v>5.833333333333333</v>
      </c>
      <c r="I9" s="75"/>
      <c r="J9" s="76"/>
      <c r="L9" s="76"/>
      <c r="M9" s="76"/>
    </row>
    <row r="10" spans="2:13" x14ac:dyDescent="0.2">
      <c r="B10" s="69" t="str">
        <f>Input!$A$26</f>
        <v/>
      </c>
      <c r="C10" s="70">
        <f>IF(B10="", 0, Input!$B$26)</f>
        <v>0</v>
      </c>
      <c r="D10" s="73">
        <f>IF(B10="", 0, Input!$C$26)</f>
        <v>0</v>
      </c>
      <c r="E10" s="70" t="str">
        <f t="shared" si="0"/>
        <v/>
      </c>
      <c r="F10" s="70" t="str">
        <f>IF(C10=0,"", IF(Input!$D$26&lt;=1, 1, Input!$D$26))</f>
        <v/>
      </c>
      <c r="G10" s="70" t="str">
        <f>IF(C10=0,"",(1-(1/F10))*D10*(E10/4))</f>
        <v/>
      </c>
      <c r="I10" s="75"/>
      <c r="J10" s="76"/>
      <c r="L10" s="76"/>
      <c r="M10" s="76"/>
    </row>
    <row r="11" spans="2:13" x14ac:dyDescent="0.2">
      <c r="B11" s="69" t="str">
        <f>Input!$A$27</f>
        <v/>
      </c>
      <c r="C11" s="70">
        <f>IF(B11="", 0, Input!$B$27)</f>
        <v>0</v>
      </c>
      <c r="D11" s="73">
        <f>IF(B11="", 0, Input!$C$27)</f>
        <v>0</v>
      </c>
      <c r="E11" s="70" t="str">
        <f t="shared" si="0"/>
        <v/>
      </c>
      <c r="F11" s="70" t="str">
        <f>IF(C11=0,"", IF(Input!$D$27&lt;=1, 1, Input!$D$27))</f>
        <v/>
      </c>
      <c r="G11" s="70" t="str">
        <f t="shared" si="1"/>
        <v/>
      </c>
      <c r="I11" s="75"/>
      <c r="J11" s="76"/>
      <c r="L11" s="76"/>
      <c r="M11" s="76"/>
    </row>
    <row r="12" spans="2:13" x14ac:dyDescent="0.2">
      <c r="B12" s="69" t="str">
        <f>Input!$A$28</f>
        <v/>
      </c>
      <c r="C12" s="70">
        <f>IF(B12="", 0, Input!$B$28)</f>
        <v>0</v>
      </c>
      <c r="D12" s="73">
        <f>IF(B12="", 0, Input!$C$28)</f>
        <v>0</v>
      </c>
      <c r="E12" s="70" t="str">
        <f t="shared" si="0"/>
        <v/>
      </c>
      <c r="F12" s="70" t="str">
        <f>IF(C12=0,"", IF(Input!$D$28&lt;=1, 1, Input!$D$28))</f>
        <v/>
      </c>
      <c r="G12" s="70" t="str">
        <f t="shared" si="1"/>
        <v/>
      </c>
      <c r="I12" s="75"/>
      <c r="J12" s="76"/>
      <c r="L12" s="76"/>
      <c r="M12" s="76"/>
    </row>
    <row r="13" spans="2:13" x14ac:dyDescent="0.2">
      <c r="B13" s="69" t="str">
        <f>Input!$A$29</f>
        <v/>
      </c>
      <c r="C13" s="70">
        <f>IF(B13="", 0, Input!$B$29)</f>
        <v>0</v>
      </c>
      <c r="D13" s="73">
        <f>IF(B13="", 0, Input!$C$29)</f>
        <v>0</v>
      </c>
      <c r="E13" s="70" t="str">
        <f>IF(C13=0, "", D13/C13)</f>
        <v/>
      </c>
      <c r="F13" s="70" t="str">
        <f>IF(C13=0,"", IF(Input!$D$29&lt;=1, 1, Input!$D$29))</f>
        <v/>
      </c>
      <c r="G13" s="70" t="str">
        <f t="shared" si="1"/>
        <v/>
      </c>
      <c r="I13" s="75"/>
      <c r="J13" s="76"/>
      <c r="L13" s="76"/>
      <c r="M13" s="76"/>
    </row>
    <row r="17" spans="1:13" ht="32" x14ac:dyDescent="0.2">
      <c r="A17" s="74">
        <v>0.8</v>
      </c>
      <c r="B17" s="67" t="s">
        <v>67</v>
      </c>
      <c r="C17" s="68" t="s">
        <v>68</v>
      </c>
      <c r="D17" s="67" t="s">
        <v>69</v>
      </c>
      <c r="E17" s="68" t="s">
        <v>70</v>
      </c>
      <c r="F17" s="67" t="s">
        <v>71</v>
      </c>
      <c r="G17" s="67" t="s">
        <v>72</v>
      </c>
    </row>
    <row r="18" spans="1:13" x14ac:dyDescent="0.2">
      <c r="B18" s="69">
        <f>Input!$A$20</f>
        <v>1</v>
      </c>
      <c r="C18" s="70">
        <f>IF(B18="", 0, Input!$B$20)</f>
        <v>100</v>
      </c>
      <c r="D18" s="73">
        <f>IF(B18="", 0, (Input!C20/Input!$B$15)*$A$17*Input!$B$15)</f>
        <v>44.000000000000007</v>
      </c>
      <c r="E18" s="70">
        <f>IF(C18=0, "", D18/C18)</f>
        <v>0.44000000000000006</v>
      </c>
      <c r="F18" s="70">
        <f>IF(C18=0,"", IF($A$17*Input!D20&lt;=1, 1, $A$17*Input!D20))</f>
        <v>8</v>
      </c>
      <c r="G18" s="70">
        <f>IF(C18=0,"",(1-(1/F18))*D18*(E18/4))</f>
        <v>4.2350000000000012</v>
      </c>
      <c r="I18" s="71" t="s">
        <v>73</v>
      </c>
      <c r="J18" s="70">
        <f>AVERAGE(G18:G27)</f>
        <v>1.7484096459096463</v>
      </c>
      <c r="L18" s="69" t="s">
        <v>76</v>
      </c>
      <c r="M18" s="70">
        <f>(Input!$E$16)/5</f>
        <v>0.13942499999999997</v>
      </c>
    </row>
    <row r="19" spans="1:13" x14ac:dyDescent="0.2">
      <c r="B19" s="69">
        <f>Input!$A$21</f>
        <v>2</v>
      </c>
      <c r="C19" s="70">
        <f>IF(B19="", 0, Input!$B$21)</f>
        <v>65</v>
      </c>
      <c r="D19" s="73">
        <f>IF(B19="", 0, (Input!C21/Input!$B$15)*$A$17*Input!$B$15)</f>
        <v>12</v>
      </c>
      <c r="E19" s="70">
        <f t="shared" ref="E19:E27" si="2">IF(C19=0, "", D19/C19)</f>
        <v>0.18461538461538463</v>
      </c>
      <c r="F19" s="70">
        <f>IF(C19=0,"", IF($A$17*Input!D21&lt;=1, 1, $A$17*Input!D21))</f>
        <v>5.6000000000000005</v>
      </c>
      <c r="G19" s="70">
        <f t="shared" ref="G19:G27" si="3">IF(C19=0,"",(1-(1/F19))*D19*(E19/4))</f>
        <v>0.45494505494505499</v>
      </c>
      <c r="I19" s="72"/>
      <c r="J19" s="70">
        <f>_xlfn.VAR.P(G18:G27)</f>
        <v>2.520808198868524</v>
      </c>
      <c r="L19" s="70"/>
      <c r="M19" s="70">
        <f>M18*AVERAGE(F18:F27)</f>
        <v>1.50579</v>
      </c>
    </row>
    <row r="20" spans="1:13" x14ac:dyDescent="0.2">
      <c r="B20" s="69">
        <f>Input!$A$22</f>
        <v>3</v>
      </c>
      <c r="C20" s="70">
        <f>IF(B20="", 0, Input!$B$22)</f>
        <v>65</v>
      </c>
      <c r="D20" s="73">
        <f>IF(B20="", 0, (Input!C22/Input!$B$15)*$A$17*Input!$B$15)</f>
        <v>16.000000000000004</v>
      </c>
      <c r="E20" s="70">
        <f t="shared" si="2"/>
        <v>0.2461538461538462</v>
      </c>
      <c r="F20" s="70">
        <f>IF(C20=0,"", IF($A$17*Input!D22&lt;=1, 1, $A$17*Input!D22))</f>
        <v>32</v>
      </c>
      <c r="G20" s="70">
        <f t="shared" si="3"/>
        <v>0.95384615384615423</v>
      </c>
      <c r="I20" s="69" t="s">
        <v>74</v>
      </c>
      <c r="J20" s="70">
        <f>(ABS((J18^2)-(J19/COUNT(G18:G27))))/(J19-J18)</f>
        <v>3.4137837001344775</v>
      </c>
      <c r="L20" s="69" t="s">
        <v>77</v>
      </c>
      <c r="M20" s="70">
        <f>(0.334+(0.689/J20)+(0.408/M19)-(0.507/(J20*M19))-(0.356/(M19^2))+(0.467/(J20*(M19^2))))</f>
        <v>0.6114781128321144</v>
      </c>
    </row>
    <row r="21" spans="1:13" x14ac:dyDescent="0.2">
      <c r="B21" s="69">
        <f>Input!$A$23</f>
        <v>4</v>
      </c>
      <c r="C21" s="70">
        <f>IF(B21="", 0, Input!$B$23)</f>
        <v>50</v>
      </c>
      <c r="D21" s="73">
        <f>IF(B21="", 0, (Input!C23/Input!$B$15)*$A$17*Input!$B$15)</f>
        <v>8.0000000000000018</v>
      </c>
      <c r="E21" s="70">
        <f t="shared" si="2"/>
        <v>0.16000000000000003</v>
      </c>
      <c r="F21" s="70">
        <f>IF(C21=0,"", IF($A$17*Input!D23&lt;=1, 1, $A$17*Input!D23))</f>
        <v>3.2</v>
      </c>
      <c r="G21" s="70">
        <f t="shared" si="3"/>
        <v>0.22000000000000008</v>
      </c>
      <c r="I21" s="69" t="s">
        <v>75</v>
      </c>
      <c r="J21" s="70" t="str">
        <f>IF(J19&gt;J18, "HETEROGENEOUS","HOMOGENEOUS")</f>
        <v>HETEROGENEOUS</v>
      </c>
      <c r="L21" s="70" t="s">
        <v>65</v>
      </c>
      <c r="M21" s="70">
        <f>IF(M19&lt;=1, "NO OUTBREAK", IF(J21="HETEROGENEOUS",(-LOG(0.1)/LOG(M19))*M20,-LOG(0.1)/LOG(M19)))</f>
        <v>3.439823063986708</v>
      </c>
    </row>
    <row r="22" spans="1:13" x14ac:dyDescent="0.2">
      <c r="B22" s="69">
        <f>Input!$A$24</f>
        <v>5</v>
      </c>
      <c r="C22" s="70">
        <f>IF(B22="", 0, Input!$B$24)</f>
        <v>50</v>
      </c>
      <c r="D22" s="73">
        <f>IF(B22="", 0, (Input!C24/Input!$B$15)*$A$17*Input!$B$15)</f>
        <v>16.000000000000004</v>
      </c>
      <c r="E22" s="70">
        <f t="shared" si="2"/>
        <v>0.32000000000000006</v>
      </c>
      <c r="F22" s="70">
        <f>IF(C22=0,"", IF($A$17*Input!D24&lt;=1, 1, $A$17*Input!D24))</f>
        <v>4</v>
      </c>
      <c r="G22" s="70">
        <f t="shared" si="3"/>
        <v>0.96000000000000052</v>
      </c>
      <c r="I22" s="75"/>
      <c r="J22" s="76"/>
      <c r="L22" s="76"/>
      <c r="M22" s="76"/>
    </row>
    <row r="23" spans="1:13" x14ac:dyDescent="0.2">
      <c r="B23" s="69">
        <f>Input!$A$25</f>
        <v>6</v>
      </c>
      <c r="C23" s="70">
        <f>IF(B23="", 0, Input!$B$25)</f>
        <v>100</v>
      </c>
      <c r="D23" s="73">
        <f>IF(B23="", 0, (Input!C25/Input!$B$15)*$A$17*Input!$B$15)</f>
        <v>40</v>
      </c>
      <c r="E23" s="70">
        <f t="shared" si="2"/>
        <v>0.4</v>
      </c>
      <c r="F23" s="70">
        <f>IF(C23=0,"", IF($A$17*Input!D25&lt;=1, 1, $A$17*Input!D25))</f>
        <v>12</v>
      </c>
      <c r="G23" s="70">
        <f t="shared" si="3"/>
        <v>3.6666666666666665</v>
      </c>
      <c r="I23" s="75"/>
      <c r="J23" s="76"/>
      <c r="L23" s="76"/>
      <c r="M23" s="76"/>
    </row>
    <row r="24" spans="1:13" x14ac:dyDescent="0.2">
      <c r="B24" s="69" t="str">
        <f>Input!$A$26</f>
        <v/>
      </c>
      <c r="C24" s="70">
        <f>IF(B24="", 0, Input!$B$26)</f>
        <v>0</v>
      </c>
      <c r="D24" s="73">
        <f>IF(B24="", 0, (Input!C26/Input!$B$15)*$A$17*Input!$B$15)</f>
        <v>0</v>
      </c>
      <c r="E24" s="70" t="str">
        <f t="shared" si="2"/>
        <v/>
      </c>
      <c r="F24" s="70" t="str">
        <f>IF(C24=0,"", IF($A$17*Input!D26&lt;=1, 1, $A$17*Input!D26))</f>
        <v/>
      </c>
      <c r="G24" s="70" t="str">
        <f t="shared" si="3"/>
        <v/>
      </c>
      <c r="I24" s="75"/>
      <c r="J24" s="76"/>
      <c r="L24" s="76"/>
      <c r="M24" s="76"/>
    </row>
    <row r="25" spans="1:13" x14ac:dyDescent="0.2">
      <c r="B25" s="69" t="str">
        <f>Input!$A$27</f>
        <v/>
      </c>
      <c r="C25" s="70">
        <f>IF(B25="", 0, Input!$B$27)</f>
        <v>0</v>
      </c>
      <c r="D25" s="73">
        <f>IF(B25="", 0, (Input!C27/Input!$B$15)*$A$17*Input!$B$15)</f>
        <v>0</v>
      </c>
      <c r="E25" s="70" t="str">
        <f t="shared" si="2"/>
        <v/>
      </c>
      <c r="F25" s="70" t="str">
        <f>IF(C25=0,"", IF($A$17*Input!D27&lt;=1, 1, $A$17*Input!D27))</f>
        <v/>
      </c>
      <c r="G25" s="70" t="str">
        <f t="shared" si="3"/>
        <v/>
      </c>
      <c r="I25" s="75"/>
      <c r="J25" s="76"/>
      <c r="L25" s="76"/>
      <c r="M25" s="76"/>
    </row>
    <row r="26" spans="1:13" x14ac:dyDescent="0.2">
      <c r="B26" s="69" t="str">
        <f>Input!$A$28</f>
        <v/>
      </c>
      <c r="C26" s="70">
        <f>IF(B26="", 0, Input!$B$28)</f>
        <v>0</v>
      </c>
      <c r="D26" s="73">
        <f>IF(B26="", 0, (Input!C28/Input!$B$15)*$A$17*Input!$B$15)</f>
        <v>0</v>
      </c>
      <c r="E26" s="70" t="str">
        <f t="shared" si="2"/>
        <v/>
      </c>
      <c r="F26" s="70" t="str">
        <f>IF(C26=0,"", IF($A$17*Input!D28&lt;=1, 1, $A$17*Input!D28))</f>
        <v/>
      </c>
      <c r="G26" s="70" t="str">
        <f t="shared" si="3"/>
        <v/>
      </c>
      <c r="I26" s="75"/>
      <c r="J26" s="76"/>
      <c r="L26" s="76"/>
      <c r="M26" s="76"/>
    </row>
    <row r="27" spans="1:13" x14ac:dyDescent="0.2">
      <c r="B27" s="69" t="str">
        <f>Input!$A$29</f>
        <v/>
      </c>
      <c r="C27" s="70">
        <f>IF(B27="", 0, Input!$B$29)</f>
        <v>0</v>
      </c>
      <c r="D27" s="73">
        <f>IF(B27="", 0, (Input!C29/Input!$B$15)*$A$17*Input!$B$15)</f>
        <v>0</v>
      </c>
      <c r="E27" s="70" t="str">
        <f t="shared" si="2"/>
        <v/>
      </c>
      <c r="F27" s="70" t="str">
        <f>IF(C27=0,"", IF($A$17*Input!D29&lt;=1, 1, $A$17*Input!D29))</f>
        <v/>
      </c>
      <c r="G27" s="70" t="str">
        <f t="shared" si="3"/>
        <v/>
      </c>
      <c r="I27" s="75"/>
      <c r="J27" s="76"/>
      <c r="L27" s="76"/>
      <c r="M27" s="76"/>
    </row>
    <row r="31" spans="1:13" ht="32" x14ac:dyDescent="0.2">
      <c r="A31" s="74">
        <v>0.6</v>
      </c>
      <c r="B31" s="67" t="s">
        <v>67</v>
      </c>
      <c r="C31" s="68" t="s">
        <v>68</v>
      </c>
      <c r="D31" s="67" t="s">
        <v>69</v>
      </c>
      <c r="E31" s="68" t="s">
        <v>70</v>
      </c>
      <c r="F31" s="67" t="s">
        <v>71</v>
      </c>
      <c r="G31" s="67" t="s">
        <v>72</v>
      </c>
    </row>
    <row r="32" spans="1:13" x14ac:dyDescent="0.2">
      <c r="B32" s="69">
        <f>Input!$A$20</f>
        <v>1</v>
      </c>
      <c r="C32" s="70">
        <f>IF(B32="", 0, Input!$B$20)</f>
        <v>100</v>
      </c>
      <c r="D32" s="73">
        <f>IF(B32="",0, (Input!C20/Input!$B$15)*$A$31*Input!$B$15)</f>
        <v>33</v>
      </c>
      <c r="E32" s="70">
        <f>IF(C32=0, "", D32/C32)</f>
        <v>0.33</v>
      </c>
      <c r="F32" s="70">
        <f>IF(C32=0,"", IF($A$31*Input!D20&lt;=1, 1, $A$31*Input!D20))</f>
        <v>6</v>
      </c>
      <c r="G32" s="70">
        <f>IF(C32=0,"",(1-(1/F32))*D32*(E32/4))</f>
        <v>2.2687500000000003</v>
      </c>
      <c r="I32" s="71" t="s">
        <v>73</v>
      </c>
      <c r="J32" s="70">
        <f>AVERAGE(G32:G41)</f>
        <v>0.93698031135531135</v>
      </c>
      <c r="L32" s="69" t="s">
        <v>76</v>
      </c>
      <c r="M32" s="70">
        <f>(Input!$E$16)/5</f>
        <v>0.13942499999999997</v>
      </c>
    </row>
    <row r="33" spans="1:13" x14ac:dyDescent="0.2">
      <c r="B33" s="69">
        <f>Input!$A$21</f>
        <v>2</v>
      </c>
      <c r="C33" s="70">
        <f>IF(B33="", 0, Input!$B$21)</f>
        <v>65</v>
      </c>
      <c r="D33" s="73">
        <f>IF(B33="",0, (Input!C21/Input!$B$15)*$A$31*Input!$B$15)</f>
        <v>9</v>
      </c>
      <c r="E33" s="70">
        <f t="shared" ref="E33:E41" si="4">IF(C33=0, "", D33/C33)</f>
        <v>0.13846153846153847</v>
      </c>
      <c r="F33" s="70">
        <f>IF(C33=0,"", IF($A$31*Input!D21&lt;=1, 1, $A$31*Input!D21))</f>
        <v>4.2</v>
      </c>
      <c r="G33" s="70">
        <f t="shared" ref="G33:G41" si="5">IF(C33=0,"",(1-(1/F33))*D33*(E33/4))</f>
        <v>0.23736263736263735</v>
      </c>
      <c r="I33" s="72"/>
      <c r="J33" s="70">
        <f>_xlfn.VAR.P(G32:G41)</f>
        <v>0.7431859895403552</v>
      </c>
      <c r="L33" s="70"/>
      <c r="M33" s="70">
        <f>M32*AVERAGE(F32:F41)</f>
        <v>1.1293424999999997</v>
      </c>
    </row>
    <row r="34" spans="1:13" x14ac:dyDescent="0.2">
      <c r="B34" s="69">
        <f>Input!$A$22</f>
        <v>3</v>
      </c>
      <c r="C34" s="70">
        <f>IF(B34="", 0, Input!$B$22)</f>
        <v>65</v>
      </c>
      <c r="D34" s="73">
        <f>IF(B34="",0, (Input!C22/Input!$B$15)*$A$31*Input!$B$15)</f>
        <v>12</v>
      </c>
      <c r="E34" s="70">
        <f t="shared" si="4"/>
        <v>0.18461538461538463</v>
      </c>
      <c r="F34" s="70">
        <f>IF(C34=0,"", IF($A$31*Input!D22&lt;=1, 1, $A$31*Input!D22))</f>
        <v>24</v>
      </c>
      <c r="G34" s="70">
        <f t="shared" si="5"/>
        <v>0.53076923076923077</v>
      </c>
      <c r="I34" s="69" t="s">
        <v>74</v>
      </c>
      <c r="J34" s="70">
        <f>(ABS((J32^2)-(J33/COUNT(G32:G41))))/(J33-J32)</f>
        <v>-3.8910725825984525</v>
      </c>
      <c r="L34" s="69" t="s">
        <v>77</v>
      </c>
      <c r="M34" s="70">
        <f>(0.334+(0.689/J34)+(0.408/M33)-(0.507/(J34*M33))-(0.356/(M33^2))+(0.467/(J34*(M33^2))))</f>
        <v>0.26034911388810877</v>
      </c>
    </row>
    <row r="35" spans="1:13" x14ac:dyDescent="0.2">
      <c r="B35" s="69">
        <f>Input!$A$23</f>
        <v>4</v>
      </c>
      <c r="C35" s="70">
        <f>IF(B35="", 0, Input!$B$23)</f>
        <v>50</v>
      </c>
      <c r="D35" s="73">
        <f>IF(B35="",0, (Input!C23/Input!$B$15)*$A$31*Input!$B$15)</f>
        <v>6</v>
      </c>
      <c r="E35" s="70">
        <f t="shared" si="4"/>
        <v>0.12</v>
      </c>
      <c r="F35" s="70">
        <f>IF(C35=0,"", IF($A$31*Input!D23&lt;=1, 1, $A$31*Input!D23))</f>
        <v>2.4</v>
      </c>
      <c r="G35" s="70">
        <f t="shared" si="5"/>
        <v>0.10499999999999998</v>
      </c>
      <c r="I35" s="69" t="s">
        <v>75</v>
      </c>
      <c r="J35" s="70" t="str">
        <f>IF(J33&gt;J32, "HETEROGENEOUS","HOMOGENEOUS")</f>
        <v>HOMOGENEOUS</v>
      </c>
      <c r="L35" s="70" t="s">
        <v>65</v>
      </c>
      <c r="M35" s="70">
        <f>IF(M33&lt;=1, "NO OUTBREAK", IF(J35="HETEROGENEOUS",(-LOG(0.1)/LOG(M33))*M34,-LOG(0.1)/LOG(M33)))</f>
        <v>18.930189836491479</v>
      </c>
    </row>
    <row r="36" spans="1:13" x14ac:dyDescent="0.2">
      <c r="B36" s="69">
        <f>Input!$A$24</f>
        <v>5</v>
      </c>
      <c r="C36" s="70">
        <f>IF(B36="", 0, Input!$B$24)</f>
        <v>50</v>
      </c>
      <c r="D36" s="73">
        <f>IF(B36="",0, (Input!C24/Input!$B$15)*$A$31*Input!$B$15)</f>
        <v>12</v>
      </c>
      <c r="E36" s="70">
        <f t="shared" si="4"/>
        <v>0.24</v>
      </c>
      <c r="F36" s="70">
        <f>IF(C36=0,"", IF($A$31*Input!D24&lt;=1, 1, $A$31*Input!D24))</f>
        <v>3</v>
      </c>
      <c r="G36" s="70">
        <f t="shared" si="5"/>
        <v>0.48</v>
      </c>
      <c r="I36" s="75"/>
      <c r="J36" s="76"/>
      <c r="L36" s="76"/>
      <c r="M36" s="76"/>
    </row>
    <row r="37" spans="1:13" x14ac:dyDescent="0.2">
      <c r="B37" s="69">
        <f>Input!$A$25</f>
        <v>6</v>
      </c>
      <c r="C37" s="70">
        <f>IF(B37="", 0, Input!$B$25)</f>
        <v>100</v>
      </c>
      <c r="D37" s="73">
        <f>IF(B37="",0, (Input!C25/Input!$B$15)*$A$31*Input!$B$15)</f>
        <v>30</v>
      </c>
      <c r="E37" s="70">
        <f t="shared" si="4"/>
        <v>0.3</v>
      </c>
      <c r="F37" s="70">
        <f>IF(C37=0,"", IF($A$31*Input!D25&lt;=1, 1, $A$31*Input!D25))</f>
        <v>9</v>
      </c>
      <c r="G37" s="70">
        <f t="shared" si="5"/>
        <v>1.9999999999999998</v>
      </c>
      <c r="I37" s="75"/>
      <c r="J37" s="76"/>
      <c r="L37" s="76"/>
      <c r="M37" s="76"/>
    </row>
    <row r="38" spans="1:13" x14ac:dyDescent="0.2">
      <c r="B38" s="69" t="str">
        <f>Input!$A$26</f>
        <v/>
      </c>
      <c r="C38" s="70">
        <f>IF(B38="", 0, Input!$B$26)</f>
        <v>0</v>
      </c>
      <c r="D38" s="73">
        <f>IF(B38="",0, (Input!C26/Input!$B$15)*$A$31*Input!$B$15)</f>
        <v>0</v>
      </c>
      <c r="E38" s="70" t="str">
        <f t="shared" si="4"/>
        <v/>
      </c>
      <c r="F38" s="70" t="str">
        <f>IF(C38=0,"", IF($A$31*Input!D26&lt;=1, 1, $A$31*Input!D26))</f>
        <v/>
      </c>
      <c r="G38" s="70" t="str">
        <f t="shared" si="5"/>
        <v/>
      </c>
      <c r="I38" s="75"/>
      <c r="J38" s="76"/>
      <c r="L38" s="76"/>
      <c r="M38" s="76"/>
    </row>
    <row r="39" spans="1:13" x14ac:dyDescent="0.2">
      <c r="B39" s="69" t="str">
        <f>Input!$A$27</f>
        <v/>
      </c>
      <c r="C39" s="70">
        <f>IF(B39="", 0, Input!$B$27)</f>
        <v>0</v>
      </c>
      <c r="D39" s="73">
        <f>IF(B39="",0, (Input!C27/Input!$B$15)*$A$31*Input!$B$15)</f>
        <v>0</v>
      </c>
      <c r="E39" s="70" t="str">
        <f t="shared" si="4"/>
        <v/>
      </c>
      <c r="F39" s="70" t="str">
        <f>IF(C39=0,"", IF($A$31*Input!D27&lt;=1, 1, $A$31*Input!D27))</f>
        <v/>
      </c>
      <c r="G39" s="70" t="str">
        <f t="shared" si="5"/>
        <v/>
      </c>
      <c r="I39" s="75"/>
      <c r="J39" s="76"/>
      <c r="L39" s="76"/>
      <c r="M39" s="76"/>
    </row>
    <row r="40" spans="1:13" x14ac:dyDescent="0.2">
      <c r="B40" s="69" t="str">
        <f>Input!$A$28</f>
        <v/>
      </c>
      <c r="C40" s="70">
        <f>IF(B40="", 0, Input!$B$28)</f>
        <v>0</v>
      </c>
      <c r="D40" s="73">
        <f>IF(B40="",0, (Input!C28/Input!$B$15)*$A$31*Input!$B$15)</f>
        <v>0</v>
      </c>
      <c r="E40" s="70" t="str">
        <f t="shared" si="4"/>
        <v/>
      </c>
      <c r="F40" s="70" t="str">
        <f>IF(C40=0,"", IF($A$31*Input!D28&lt;=1, 1, $A$31*Input!D28))</f>
        <v/>
      </c>
      <c r="G40" s="70" t="str">
        <f t="shared" si="5"/>
        <v/>
      </c>
      <c r="I40" s="75"/>
      <c r="J40" s="76"/>
      <c r="L40" s="76"/>
      <c r="M40" s="76"/>
    </row>
    <row r="41" spans="1:13" x14ac:dyDescent="0.2">
      <c r="B41" s="69" t="str">
        <f>Input!$A$29</f>
        <v/>
      </c>
      <c r="C41" s="70">
        <f>IF(B41="", 0, Input!$B$29)</f>
        <v>0</v>
      </c>
      <c r="D41" s="73">
        <f>IF(B41="",0, (Input!C29/Input!$B$15)*$A$31*Input!$B$15)</f>
        <v>0</v>
      </c>
      <c r="E41" s="70" t="str">
        <f t="shared" si="4"/>
        <v/>
      </c>
      <c r="F41" s="70" t="str">
        <f>IF(C41=0,"", IF($A$31*Input!D29&lt;=1, 1, $A$31*Input!D29))</f>
        <v/>
      </c>
      <c r="G41" s="70" t="str">
        <f t="shared" si="5"/>
        <v/>
      </c>
      <c r="I41" s="75"/>
      <c r="J41" s="76"/>
      <c r="L41" s="76"/>
      <c r="M41" s="76"/>
    </row>
    <row r="45" spans="1:13" ht="32" x14ac:dyDescent="0.2">
      <c r="A45" s="74">
        <v>0.4</v>
      </c>
      <c r="B45" s="67" t="s">
        <v>67</v>
      </c>
      <c r="C45" s="68" t="s">
        <v>68</v>
      </c>
      <c r="D45" s="67" t="s">
        <v>69</v>
      </c>
      <c r="E45" s="68" t="s">
        <v>70</v>
      </c>
      <c r="F45" s="67" t="s">
        <v>71</v>
      </c>
      <c r="G45" s="67" t="s">
        <v>72</v>
      </c>
    </row>
    <row r="46" spans="1:13" x14ac:dyDescent="0.2">
      <c r="B46" s="69">
        <f>Input!$A$20</f>
        <v>1</v>
      </c>
      <c r="C46" s="70">
        <f>IF(B46="", 0, Input!$B$20)</f>
        <v>100</v>
      </c>
      <c r="D46" s="73">
        <f>IF(B46="", 0, (Input!C20/Input!$B$15)*$A$45*Input!$B$15)</f>
        <v>22.000000000000004</v>
      </c>
      <c r="E46" s="70">
        <f>IF(C46=0, "", D46/C46)</f>
        <v>0.22000000000000003</v>
      </c>
      <c r="F46" s="70">
        <f>IF(C46=0,"", IF($A$45*Input!D20&lt;=1, 1, $A$45*Input!D20))</f>
        <v>4</v>
      </c>
      <c r="G46" s="70">
        <f>IF(C46=0,"",(1-(1/F46))*D46*(E46/4))</f>
        <v>0.90750000000000031</v>
      </c>
      <c r="I46" s="71" t="s">
        <v>73</v>
      </c>
      <c r="J46" s="70">
        <f>AVERAGE(G46:G55)</f>
        <v>0.37510225885225895</v>
      </c>
      <c r="L46" s="69" t="s">
        <v>76</v>
      </c>
      <c r="M46" s="70">
        <f>(Input!$E$16)/5</f>
        <v>0.13942499999999997</v>
      </c>
    </row>
    <row r="47" spans="1:13" x14ac:dyDescent="0.2">
      <c r="B47" s="69">
        <f>Input!$A$21</f>
        <v>2</v>
      </c>
      <c r="C47" s="70">
        <f>IF(B47="", 0, Input!$B$21)</f>
        <v>65</v>
      </c>
      <c r="D47" s="73">
        <f>IF(B47="", 0, (Input!C21/Input!$B$15)*$A$45*Input!$B$15)</f>
        <v>6</v>
      </c>
      <c r="E47" s="70">
        <f t="shared" ref="E47:E55" si="6">IF(C47=0, "", D47/C47)</f>
        <v>9.2307692307692313E-2</v>
      </c>
      <c r="F47" s="70">
        <f>IF(C47=0,"", IF($A$45*Input!D21&lt;=1, 1, $A$45*Input!D21))</f>
        <v>2.8000000000000003</v>
      </c>
      <c r="G47" s="70">
        <f t="shared" ref="G47:G55" si="7">IF(C47=0,"",(1-(1/F47))*D47*(E47/4))</f>
        <v>8.9010989010989028E-2</v>
      </c>
      <c r="I47" s="72"/>
      <c r="J47" s="70">
        <f>_xlfn.VAR.P(G46:G55)</f>
        <v>0.12691131015042997</v>
      </c>
      <c r="L47" s="70"/>
      <c r="M47" s="70">
        <f>M46*AVERAGE(F46:F55)</f>
        <v>0.75289499999999998</v>
      </c>
    </row>
    <row r="48" spans="1:13" x14ac:dyDescent="0.2">
      <c r="B48" s="69">
        <f>Input!$A$22</f>
        <v>3</v>
      </c>
      <c r="C48" s="70">
        <f>IF(B48="", 0, Input!$B$22)</f>
        <v>65</v>
      </c>
      <c r="D48" s="73">
        <f>IF(B48="", 0, (Input!C22/Input!$B$15)*$A$45*Input!$B$15)</f>
        <v>8.0000000000000018</v>
      </c>
      <c r="E48" s="70">
        <f t="shared" si="6"/>
        <v>0.1230769230769231</v>
      </c>
      <c r="F48" s="70">
        <f>IF(C48=0,"", IF($A$45*Input!D22&lt;=1, 1, $A$45*Input!D22))</f>
        <v>16</v>
      </c>
      <c r="G48" s="70">
        <f t="shared" si="7"/>
        <v>0.23076923076923087</v>
      </c>
      <c r="I48" s="69" t="s">
        <v>74</v>
      </c>
      <c r="J48" s="70">
        <f>(ABS((J46^2)-(J47/COUNT(G46:G55))))/(J47-J46)</f>
        <v>-0.48168484868728983</v>
      </c>
      <c r="L48" s="69" t="s">
        <v>77</v>
      </c>
      <c r="M48" s="70">
        <f>(0.334+(0.689/J48)+(0.408/M47)-(0.507/(J48*M47))-(0.356/(M47^2))+(0.467/(J48*(M47^2))))</f>
        <v>-1.4948581218692176</v>
      </c>
    </row>
    <row r="49" spans="1:13" x14ac:dyDescent="0.2">
      <c r="B49" s="69">
        <f>Input!$A$23</f>
        <v>4</v>
      </c>
      <c r="C49" s="70">
        <f>IF(B49="", 0, Input!$B$23)</f>
        <v>50</v>
      </c>
      <c r="D49" s="73">
        <f>IF(B49="", 0, (Input!C23/Input!$B$15)*$A$45*Input!$B$15)</f>
        <v>4.0000000000000009</v>
      </c>
      <c r="E49" s="70">
        <f t="shared" si="6"/>
        <v>8.0000000000000016E-2</v>
      </c>
      <c r="F49" s="70">
        <f>IF(C49=0,"", IF($A$45*Input!D23&lt;=1, 1, $A$45*Input!D23))</f>
        <v>1.6</v>
      </c>
      <c r="G49" s="70">
        <f t="shared" si="7"/>
        <v>3.0000000000000016E-2</v>
      </c>
      <c r="I49" s="69" t="s">
        <v>75</v>
      </c>
      <c r="J49" s="70" t="str">
        <f>IF(J47&gt;J46, "HETEROGENEOUS","HOMOGENEOUS")</f>
        <v>HOMOGENEOUS</v>
      </c>
      <c r="L49" s="70" t="s">
        <v>65</v>
      </c>
      <c r="M49" s="70" t="str">
        <f>IF(M47&lt;=1, "NO OUTBREAK", IF(J49="HETEROGENEOUS",(-LOG(0.1)/LOG(M47))*M48,-LOG(0.1)/LOG(M47)))</f>
        <v>NO OUTBREAK</v>
      </c>
    </row>
    <row r="50" spans="1:13" x14ac:dyDescent="0.2">
      <c r="B50" s="69">
        <f>Input!$A$24</f>
        <v>5</v>
      </c>
      <c r="C50" s="70">
        <f>IF(B50="", 0, Input!$B$24)</f>
        <v>50</v>
      </c>
      <c r="D50" s="73">
        <f>IF(B50="", 0, (Input!C24/Input!$B$15)*$A$45*Input!$B$15)</f>
        <v>8.0000000000000018</v>
      </c>
      <c r="E50" s="70">
        <f t="shared" si="6"/>
        <v>0.16000000000000003</v>
      </c>
      <c r="F50" s="70">
        <f>IF(C50=0,"", IF($A$45*Input!D24&lt;=1, 1, $A$45*Input!D24))</f>
        <v>2</v>
      </c>
      <c r="G50" s="70">
        <f t="shared" si="7"/>
        <v>0.16000000000000006</v>
      </c>
      <c r="I50" s="75"/>
      <c r="J50" s="76"/>
      <c r="L50" s="76"/>
      <c r="M50" s="76"/>
    </row>
    <row r="51" spans="1:13" x14ac:dyDescent="0.2">
      <c r="B51" s="69">
        <f>Input!$A$25</f>
        <v>6</v>
      </c>
      <c r="C51" s="70">
        <f>IF(B51="", 0, Input!$B$25)</f>
        <v>100</v>
      </c>
      <c r="D51" s="73">
        <f>IF(B51="", 0, (Input!C25/Input!$B$15)*$A$45*Input!$B$15)</f>
        <v>20</v>
      </c>
      <c r="E51" s="70">
        <f t="shared" si="6"/>
        <v>0.2</v>
      </c>
      <c r="F51" s="70">
        <f>IF(C51=0,"", IF($A$45*Input!D25&lt;=1, 1, $A$45*Input!D25))</f>
        <v>6</v>
      </c>
      <c r="G51" s="70">
        <f t="shared" si="7"/>
        <v>0.83333333333333348</v>
      </c>
      <c r="I51" s="75"/>
      <c r="J51" s="76"/>
      <c r="L51" s="76"/>
      <c r="M51" s="76"/>
    </row>
    <row r="52" spans="1:13" x14ac:dyDescent="0.2">
      <c r="B52" s="69" t="str">
        <f>Input!$A$26</f>
        <v/>
      </c>
      <c r="C52" s="70">
        <f>IF(B52="", 0, Input!$B$26)</f>
        <v>0</v>
      </c>
      <c r="D52" s="73">
        <f>IF(B52="", 0, (Input!C26/Input!$B$15)*$A$45*Input!$B$15)</f>
        <v>0</v>
      </c>
      <c r="E52" s="70" t="str">
        <f t="shared" si="6"/>
        <v/>
      </c>
      <c r="F52" s="70" t="str">
        <f>IF(C52=0,"", IF($A$45*Input!D26&lt;=1, 1, $A$45*Input!D26))</f>
        <v/>
      </c>
      <c r="G52" s="70" t="str">
        <f t="shared" si="7"/>
        <v/>
      </c>
      <c r="I52" s="75"/>
      <c r="J52" s="76"/>
      <c r="L52" s="76"/>
      <c r="M52" s="76"/>
    </row>
    <row r="53" spans="1:13" x14ac:dyDescent="0.2">
      <c r="B53" s="69" t="str">
        <f>Input!$A$27</f>
        <v/>
      </c>
      <c r="C53" s="70">
        <f>IF(B53="", 0, Input!$B$27)</f>
        <v>0</v>
      </c>
      <c r="D53" s="73">
        <f>IF(B53="", 0, (Input!C27/Input!$B$15)*$A$45*Input!$B$15)</f>
        <v>0</v>
      </c>
      <c r="E53" s="70" t="str">
        <f t="shared" si="6"/>
        <v/>
      </c>
      <c r="F53" s="70" t="str">
        <f>IF(C53=0,"", IF($A$45*Input!D27&lt;=1, 1, $A$45*Input!D27))</f>
        <v/>
      </c>
      <c r="G53" s="70" t="str">
        <f t="shared" si="7"/>
        <v/>
      </c>
      <c r="I53" s="75"/>
      <c r="J53" s="76"/>
      <c r="L53" s="76"/>
      <c r="M53" s="76"/>
    </row>
    <row r="54" spans="1:13" x14ac:dyDescent="0.2">
      <c r="B54" s="69" t="str">
        <f>Input!$A$28</f>
        <v/>
      </c>
      <c r="C54" s="70">
        <f>IF(B54="", 0, Input!$B$28)</f>
        <v>0</v>
      </c>
      <c r="D54" s="73">
        <f>IF(B54="", 0, (Input!C28/Input!$B$15)*$A$45*Input!$B$15)</f>
        <v>0</v>
      </c>
      <c r="E54" s="70" t="str">
        <f t="shared" si="6"/>
        <v/>
      </c>
      <c r="F54" s="70" t="str">
        <f>IF(C54=0,"", IF($A$45*Input!D28&lt;=1, 1, $A$45*Input!D28))</f>
        <v/>
      </c>
      <c r="G54" s="70" t="str">
        <f t="shared" si="7"/>
        <v/>
      </c>
      <c r="I54" s="75"/>
      <c r="J54" s="76"/>
      <c r="L54" s="76"/>
      <c r="M54" s="76"/>
    </row>
    <row r="55" spans="1:13" x14ac:dyDescent="0.2">
      <c r="B55" s="69" t="str">
        <f>Input!$A$29</f>
        <v/>
      </c>
      <c r="C55" s="70">
        <f>IF(B55="", 0, Input!$B$29)</f>
        <v>0</v>
      </c>
      <c r="D55" s="73">
        <f>IF(B55="", 0, (Input!C29/Input!$B$15)*$A$45*Input!$B$15)</f>
        <v>0</v>
      </c>
      <c r="E55" s="70" t="str">
        <f t="shared" si="6"/>
        <v/>
      </c>
      <c r="F55" s="70" t="str">
        <f>IF(C55=0,"", IF($A$45*Input!D29&lt;=1, 1, $A$45*Input!D29))</f>
        <v/>
      </c>
      <c r="G55" s="70" t="str">
        <f t="shared" si="7"/>
        <v/>
      </c>
      <c r="I55" s="75"/>
      <c r="J55" s="76"/>
      <c r="L55" s="76"/>
      <c r="M55" s="76"/>
    </row>
    <row r="59" spans="1:13" ht="32" x14ac:dyDescent="0.2">
      <c r="A59" s="74">
        <v>0.2</v>
      </c>
      <c r="B59" s="67" t="s">
        <v>67</v>
      </c>
      <c r="C59" s="68" t="s">
        <v>68</v>
      </c>
      <c r="D59" s="67" t="s">
        <v>69</v>
      </c>
      <c r="E59" s="68" t="s">
        <v>70</v>
      </c>
      <c r="F59" s="67" t="s">
        <v>71</v>
      </c>
      <c r="G59" s="67" t="s">
        <v>72</v>
      </c>
    </row>
    <row r="60" spans="1:13" x14ac:dyDescent="0.2">
      <c r="B60" s="69">
        <f>Input!$A$20</f>
        <v>1</v>
      </c>
      <c r="C60" s="70">
        <f>IF(B60="", 0, Input!$B$20)</f>
        <v>100</v>
      </c>
      <c r="D60" s="73">
        <f>IF(B60="", 0, (Input!C20/Input!$B$15)*$A$59*Input!$B$15)</f>
        <v>11.000000000000002</v>
      </c>
      <c r="E60" s="70">
        <f>IF(C60=0, "", D60/C60)</f>
        <v>0.11000000000000001</v>
      </c>
      <c r="F60" s="70">
        <f>IF(C60=0,"", IF($A$59*Input!D20&lt;=1, 1, $A$59*Input!D20))</f>
        <v>2</v>
      </c>
      <c r="G60" s="70">
        <f>IF(C60=0,"",(1-(1/F60))*D60*(E60/4))</f>
        <v>0.15125000000000005</v>
      </c>
      <c r="I60" s="71" t="s">
        <v>73</v>
      </c>
      <c r="J60" s="70">
        <f>AVERAGE(G60:G69)</f>
        <v>6.3608821733821749E-2</v>
      </c>
      <c r="L60" s="69" t="s">
        <v>76</v>
      </c>
      <c r="M60" s="70">
        <f>(Input!$E$16)/5</f>
        <v>0.13942499999999997</v>
      </c>
    </row>
    <row r="61" spans="1:13" x14ac:dyDescent="0.2">
      <c r="B61" s="69">
        <f>Input!$A$21</f>
        <v>2</v>
      </c>
      <c r="C61" s="70">
        <f>IF(B61="", 0, Input!$B$21)</f>
        <v>65</v>
      </c>
      <c r="D61" s="73">
        <f>IF(B61="", 0, (Input!C21/Input!$B$15)*$A$59*Input!$B$15)</f>
        <v>3</v>
      </c>
      <c r="E61" s="70">
        <f t="shared" ref="E61:E69" si="8">IF(C61=0, "", D61/C61)</f>
        <v>4.6153846153846156E-2</v>
      </c>
      <c r="F61" s="70">
        <f>IF(C61=0,"", IF($A$59*Input!D21&lt;=1, 1, $A$59*Input!D21))</f>
        <v>1.4000000000000001</v>
      </c>
      <c r="G61" s="70">
        <f t="shared" ref="G61:G69" si="9">IF(C61=0,"",(1-(1/F61))*D61*(E61/4))</f>
        <v>9.8901098901098931E-3</v>
      </c>
      <c r="I61" s="72"/>
      <c r="J61" s="70">
        <f>_xlfn.VAR.P(G60:G69)</f>
        <v>4.8958449368748744E-3</v>
      </c>
      <c r="L61" s="70"/>
      <c r="M61" s="70">
        <f>M60*AVERAGE(F60:F69)</f>
        <v>0.38109499999999985</v>
      </c>
    </row>
    <row r="62" spans="1:13" x14ac:dyDescent="0.2">
      <c r="B62" s="69">
        <f>Input!$A$22</f>
        <v>3</v>
      </c>
      <c r="C62" s="70">
        <f>IF(B62="", 0, Input!$B$22)</f>
        <v>65</v>
      </c>
      <c r="D62" s="73">
        <f>IF(B62="", 0, (Input!C22/Input!$B$15)*$A$59*Input!$B$15)</f>
        <v>4.0000000000000009</v>
      </c>
      <c r="E62" s="70">
        <f t="shared" si="8"/>
        <v>6.1538461538461549E-2</v>
      </c>
      <c r="F62" s="70">
        <f>IF(C62=0,"", IF($A$59*Input!D22&lt;=1, 1, $A$59*Input!D22))</f>
        <v>8</v>
      </c>
      <c r="G62" s="70">
        <f t="shared" si="9"/>
        <v>5.384615384615387E-2</v>
      </c>
      <c r="I62" s="69" t="s">
        <v>74</v>
      </c>
      <c r="J62" s="70">
        <f>(ABS((J60^2)-(J61/COUNT(G60:G69))))/(J61-J60)</f>
        <v>-5.501523210772153E-2</v>
      </c>
      <c r="L62" s="69" t="s">
        <v>77</v>
      </c>
      <c r="M62" s="70">
        <f>(0.334+(0.689/J62)+(0.408/M61)-(0.507/(J62*M61))-(0.356/(M61^2))+(0.467/(J62*(M61^2))))</f>
        <v>-47.836157879804929</v>
      </c>
    </row>
    <row r="63" spans="1:13" x14ac:dyDescent="0.2">
      <c r="B63" s="69">
        <f>Input!$A$23</f>
        <v>4</v>
      </c>
      <c r="C63" s="70">
        <f>IF(B63="", 0, Input!$B$23)</f>
        <v>50</v>
      </c>
      <c r="D63" s="73">
        <f>IF(B63="", 0, (Input!C23/Input!$B$15)*$A$59*Input!$B$15)</f>
        <v>2.0000000000000004</v>
      </c>
      <c r="E63" s="70">
        <f t="shared" si="8"/>
        <v>4.0000000000000008E-2</v>
      </c>
      <c r="F63" s="70">
        <f>IF(C63=0,"", IF($A$59*Input!D23&lt;=1, 1, $A$59*Input!D23))</f>
        <v>1</v>
      </c>
      <c r="G63" s="70">
        <f t="shared" si="9"/>
        <v>0</v>
      </c>
      <c r="I63" s="69" t="s">
        <v>75</v>
      </c>
      <c r="J63" s="70" t="str">
        <f>IF(J61&gt;J60, "HETEROGENEOUS","HOMOGENEOUS")</f>
        <v>HOMOGENEOUS</v>
      </c>
      <c r="L63" s="70" t="s">
        <v>65</v>
      </c>
      <c r="M63" s="70" t="str">
        <f>IF(M61&lt;=1, "NO OUTBREAK", IF(J63="HETEROGENEOUS",(-LOG(0.1)/LOG(M61))*M62,-LOG(0.1)/LOG(M61)))</f>
        <v>NO OUTBREAK</v>
      </c>
    </row>
    <row r="64" spans="1:13" x14ac:dyDescent="0.2">
      <c r="B64" s="69">
        <f>Input!$A$24</f>
        <v>5</v>
      </c>
      <c r="C64" s="70">
        <f>IF(B64="", 0, Input!$B$24)</f>
        <v>50</v>
      </c>
      <c r="D64" s="73">
        <f>IF(B64="", 0, (Input!C24/Input!$B$15)*$A$59*Input!$B$15)</f>
        <v>4.0000000000000009</v>
      </c>
      <c r="E64" s="70">
        <f t="shared" si="8"/>
        <v>8.0000000000000016E-2</v>
      </c>
      <c r="F64" s="70">
        <f>IF(C64=0,"", IF($A$59*Input!D24&lt;=1, 1, $A$59*Input!D24))</f>
        <v>1</v>
      </c>
      <c r="G64" s="70">
        <f t="shared" si="9"/>
        <v>0</v>
      </c>
      <c r="I64" s="75"/>
      <c r="J64" s="76"/>
      <c r="L64" s="76"/>
      <c r="M64" s="76"/>
    </row>
    <row r="65" spans="2:13" x14ac:dyDescent="0.2">
      <c r="B65" s="69">
        <f>Input!$A$25</f>
        <v>6</v>
      </c>
      <c r="C65" s="70">
        <f>IF(B65="", 0, Input!$B$25)</f>
        <v>100</v>
      </c>
      <c r="D65" s="73">
        <f>IF(B65="", 0, (Input!C25/Input!$B$15)*$A$59*Input!$B$15)</f>
        <v>10</v>
      </c>
      <c r="E65" s="70">
        <f t="shared" si="8"/>
        <v>0.1</v>
      </c>
      <c r="F65" s="70">
        <f>IF(C65=0,"", IF($A$59*Input!D25&lt;=1, 1, $A$59*Input!D25))</f>
        <v>3</v>
      </c>
      <c r="G65" s="70">
        <f t="shared" si="9"/>
        <v>0.16666666666666671</v>
      </c>
      <c r="I65" s="75"/>
      <c r="J65" s="76"/>
      <c r="L65" s="76"/>
      <c r="M65" s="76"/>
    </row>
    <row r="66" spans="2:13" x14ac:dyDescent="0.2">
      <c r="B66" s="69" t="str">
        <f>Input!$A$26</f>
        <v/>
      </c>
      <c r="C66" s="70">
        <f>IF(B66="", 0, Input!$B$26)</f>
        <v>0</v>
      </c>
      <c r="D66" s="73">
        <f>IF(B66="", 0, (Input!C26/Input!$B$15)*$A$59*Input!$B$15)</f>
        <v>0</v>
      </c>
      <c r="E66" s="70" t="str">
        <f t="shared" si="8"/>
        <v/>
      </c>
      <c r="F66" s="70" t="str">
        <f>IF(C66=0,"", IF($A$59*Input!D26&lt;=1, 1, $A$59*Input!D26))</f>
        <v/>
      </c>
      <c r="G66" s="70" t="str">
        <f t="shared" si="9"/>
        <v/>
      </c>
      <c r="I66" s="75"/>
      <c r="J66" s="76"/>
      <c r="L66" s="76"/>
      <c r="M66" s="76"/>
    </row>
    <row r="67" spans="2:13" x14ac:dyDescent="0.2">
      <c r="B67" s="69" t="str">
        <f>Input!$A$27</f>
        <v/>
      </c>
      <c r="C67" s="70">
        <f>IF(B67="", 0, Input!$B$27)</f>
        <v>0</v>
      </c>
      <c r="D67" s="73">
        <f>IF(B67="", 0, (Input!C27/Input!$B$15)*$A$59*Input!$B$15)</f>
        <v>0</v>
      </c>
      <c r="E67" s="70" t="str">
        <f t="shared" si="8"/>
        <v/>
      </c>
      <c r="F67" s="70" t="str">
        <f>IF(C67=0,"", IF($A$59*Input!D27&lt;=1, 1, $A$59*Input!D27))</f>
        <v/>
      </c>
      <c r="G67" s="70" t="str">
        <f t="shared" si="9"/>
        <v/>
      </c>
      <c r="I67" s="75"/>
      <c r="J67" s="76"/>
      <c r="L67" s="76"/>
      <c r="M67" s="76"/>
    </row>
    <row r="68" spans="2:13" x14ac:dyDescent="0.2">
      <c r="B68" s="69" t="str">
        <f>Input!$A$28</f>
        <v/>
      </c>
      <c r="C68" s="70">
        <f>IF(B68="", 0, Input!$B$28)</f>
        <v>0</v>
      </c>
      <c r="D68" s="73">
        <f>IF(B68="", 0, (Input!C28/Input!$B$15)*$A$59*Input!$B$15)</f>
        <v>0</v>
      </c>
      <c r="E68" s="70" t="str">
        <f t="shared" si="8"/>
        <v/>
      </c>
      <c r="F68" s="70" t="str">
        <f>IF(C68=0,"", IF($A$59*Input!D28&lt;=1, 1, $A$59*Input!D28))</f>
        <v/>
      </c>
      <c r="G68" s="70" t="str">
        <f t="shared" si="9"/>
        <v/>
      </c>
      <c r="I68" s="75"/>
      <c r="J68" s="76"/>
      <c r="L68" s="76"/>
      <c r="M68" s="76"/>
    </row>
    <row r="69" spans="2:13" x14ac:dyDescent="0.2">
      <c r="B69" s="69" t="str">
        <f>Input!$A$29</f>
        <v/>
      </c>
      <c r="C69" s="70">
        <f>IF(B69="", 0, Input!$B$29)</f>
        <v>0</v>
      </c>
      <c r="D69" s="73">
        <f>IF(B69="", 0, (Input!C29/Input!$B$15)*$A$59*Input!$B$15)</f>
        <v>0</v>
      </c>
      <c r="E69" s="70" t="str">
        <f t="shared" si="8"/>
        <v/>
      </c>
      <c r="F69" s="70" t="str">
        <f>IF(C69=0,"", IF($A$59*Input!D29&lt;=1, 1, $A$59*Input!D29))</f>
        <v/>
      </c>
      <c r="G69" s="70" t="str">
        <f t="shared" si="9"/>
        <v/>
      </c>
      <c r="I69" s="75"/>
      <c r="J69" s="76"/>
      <c r="L69" s="76"/>
      <c r="M69" s="76"/>
    </row>
  </sheetData>
  <conditionalFormatting sqref="C4:D69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Input</vt:lpstr>
      <vt:lpstr>Output</vt:lpstr>
      <vt:lpstr>Nature of Work</vt:lpstr>
      <vt:lpstr>Calculation</vt:lpstr>
      <vt:lpstr>R_0</vt:lpstr>
      <vt:lpstr>R_1</vt:lpstr>
      <vt:lpstr>R_2</vt:lpstr>
      <vt:lpstr>R_3</vt:lpstr>
      <vt:lpstr>R_4</vt:lpstr>
      <vt:lpstr>T_0</vt:lpstr>
      <vt:lpstr>T_1</vt:lpstr>
      <vt:lpstr>T_2</vt:lpstr>
      <vt:lpstr>T_3</vt:lpstr>
      <vt:lpstr>T_4</vt:lpstr>
      <vt:lpstr>T_5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Gelo Mara</dc:creator>
  <cp:lastModifiedBy>J Rabajante</cp:lastModifiedBy>
  <dcterms:created xsi:type="dcterms:W3CDTF">2020-04-23T04:14:21Z</dcterms:created>
  <dcterms:modified xsi:type="dcterms:W3CDTF">2020-05-21T10:14:37Z</dcterms:modified>
</cp:coreProperties>
</file>